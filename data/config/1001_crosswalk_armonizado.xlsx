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PEG-mining-agriculture/data/config/"/>
    </mc:Choice>
  </mc:AlternateContent>
  <xr:revisionPtr revIDLastSave="1030" documentId="11_1D7141F7081B8D16392D4C2DEDED1FDF7879A7CD" xr6:coauthVersionLast="47" xr6:coauthVersionMax="47" xr10:uidLastSave="{00E245EE-E7CE-4ED1-A2ED-51A5E37537C2}"/>
  <bookViews>
    <workbookView xWindow="-120" yWindow="-120" windowWidth="29040" windowHeight="16440" xr2:uid="{00000000-000D-0000-FFFF-FFFF00000000}"/>
  </bookViews>
  <sheets>
    <sheet name="Sheet1" sheetId="1" r:id="rId1"/>
    <sheet name="auxiliar" sheetId="2" r:id="rId2"/>
  </sheets>
  <definedNames>
    <definedName name="_xlnm._FilterDatabase" localSheetId="0" hidden="1">Sheet1!$A$1:$M$410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M410" i="1" s="1"/>
  <c r="B3" i="2"/>
  <c r="M189" i="1" l="1"/>
  <c r="M11" i="1"/>
  <c r="M30" i="1"/>
  <c r="M52" i="1"/>
  <c r="M72" i="1"/>
  <c r="M93" i="1"/>
  <c r="M117" i="1"/>
  <c r="M157" i="1"/>
  <c r="M285" i="1"/>
  <c r="M75" i="1"/>
  <c r="M37" i="1"/>
  <c r="M12" i="1"/>
  <c r="M34" i="1"/>
  <c r="M53" i="1"/>
  <c r="M74" i="1"/>
  <c r="M94" i="1"/>
  <c r="M118" i="1"/>
  <c r="M158" i="1"/>
  <c r="M286" i="1"/>
  <c r="M301" i="1"/>
  <c r="M14" i="1"/>
  <c r="M36" i="1"/>
  <c r="M55" i="1"/>
  <c r="M76" i="1"/>
  <c r="M99" i="1"/>
  <c r="M120" i="1"/>
  <c r="M174" i="1"/>
  <c r="M302" i="1"/>
  <c r="M98" i="1"/>
  <c r="M77" i="1"/>
  <c r="M78" i="1"/>
  <c r="M102" i="1"/>
  <c r="M125" i="1"/>
  <c r="M205" i="1"/>
  <c r="M333" i="1"/>
  <c r="M126" i="1"/>
  <c r="M206" i="1"/>
  <c r="M334" i="1"/>
  <c r="M35" i="1"/>
  <c r="M122" i="1"/>
  <c r="M38" i="1"/>
  <c r="M59" i="1"/>
  <c r="M2" i="1"/>
  <c r="M61" i="1"/>
  <c r="M221" i="1"/>
  <c r="M349" i="1"/>
  <c r="M173" i="1"/>
  <c r="M56" i="1"/>
  <c r="M101" i="1"/>
  <c r="M20" i="1"/>
  <c r="M21" i="1"/>
  <c r="M41" i="1"/>
  <c r="M42" i="1"/>
  <c r="M131" i="1"/>
  <c r="M43" i="1"/>
  <c r="M366" i="1"/>
  <c r="M317" i="1"/>
  <c r="M19" i="1"/>
  <c r="M58" i="1"/>
  <c r="M82" i="1"/>
  <c r="M40" i="1"/>
  <c r="M130" i="1"/>
  <c r="M62" i="1"/>
  <c r="M86" i="1"/>
  <c r="M108" i="1"/>
  <c r="M67" i="1"/>
  <c r="M381" i="1"/>
  <c r="M124" i="1"/>
  <c r="M39" i="1"/>
  <c r="M60" i="1"/>
  <c r="M22" i="1"/>
  <c r="M84" i="1"/>
  <c r="M23" i="1"/>
  <c r="M106" i="1"/>
  <c r="M365" i="1"/>
  <c r="M238" i="1"/>
  <c r="M7" i="1"/>
  <c r="M68" i="1"/>
  <c r="M253" i="1"/>
  <c r="M8" i="1"/>
  <c r="M27" i="1"/>
  <c r="M46" i="1"/>
  <c r="M69" i="1"/>
  <c r="M90" i="1"/>
  <c r="M114" i="1"/>
  <c r="M146" i="1"/>
  <c r="M254" i="1"/>
  <c r="M382" i="1"/>
  <c r="M119" i="1"/>
  <c r="M18" i="1"/>
  <c r="M100" i="1"/>
  <c r="M190" i="1"/>
  <c r="M103" i="1"/>
  <c r="M104" i="1"/>
  <c r="M4" i="1"/>
  <c r="M85" i="1"/>
  <c r="M222" i="1"/>
  <c r="M24" i="1"/>
  <c r="M66" i="1"/>
  <c r="M133" i="1"/>
  <c r="M25" i="1"/>
  <c r="M44" i="1"/>
  <c r="M141" i="1"/>
  <c r="M88" i="1"/>
  <c r="M110" i="1"/>
  <c r="M28" i="1"/>
  <c r="M50" i="1"/>
  <c r="M91" i="1"/>
  <c r="M147" i="1"/>
  <c r="M269" i="1"/>
  <c r="M397" i="1"/>
  <c r="M13" i="1"/>
  <c r="M54" i="1"/>
  <c r="M318" i="1"/>
  <c r="M83" i="1"/>
  <c r="M3" i="1"/>
  <c r="M350" i="1"/>
  <c r="M5" i="1"/>
  <c r="M237" i="1"/>
  <c r="M6" i="1"/>
  <c r="M87" i="1"/>
  <c r="M109" i="1"/>
  <c r="M26" i="1"/>
  <c r="M45" i="1"/>
  <c r="M142" i="1"/>
  <c r="M9" i="1"/>
  <c r="M70" i="1"/>
  <c r="M115" i="1"/>
  <c r="M10" i="1"/>
  <c r="M29" i="1"/>
  <c r="M51" i="1"/>
  <c r="M71" i="1"/>
  <c r="M92" i="1"/>
  <c r="M116" i="1"/>
  <c r="M149" i="1"/>
  <c r="M270" i="1"/>
  <c r="M398" i="1"/>
  <c r="M107" i="1"/>
  <c r="M123" i="1"/>
  <c r="M139" i="1"/>
  <c r="M155" i="1"/>
  <c r="M171" i="1"/>
  <c r="M187" i="1"/>
  <c r="M203" i="1"/>
  <c r="M219" i="1"/>
  <c r="M235" i="1"/>
  <c r="M251" i="1"/>
  <c r="M267" i="1"/>
  <c r="M283" i="1"/>
  <c r="M299" i="1"/>
  <c r="M315" i="1"/>
  <c r="M331" i="1"/>
  <c r="M347" i="1"/>
  <c r="M363" i="1"/>
  <c r="M379" i="1"/>
  <c r="M395" i="1"/>
  <c r="M140" i="1"/>
  <c r="M156" i="1"/>
  <c r="M172" i="1"/>
  <c r="M188" i="1"/>
  <c r="M204" i="1"/>
  <c r="M220" i="1"/>
  <c r="M236" i="1"/>
  <c r="M252" i="1"/>
  <c r="M268" i="1"/>
  <c r="M284" i="1"/>
  <c r="M300" i="1"/>
  <c r="M316" i="1"/>
  <c r="M332" i="1"/>
  <c r="M348" i="1"/>
  <c r="M364" i="1"/>
  <c r="M380" i="1"/>
  <c r="M396" i="1"/>
  <c r="M15" i="1"/>
  <c r="M63" i="1"/>
  <c r="M95" i="1"/>
  <c r="M127" i="1"/>
  <c r="M143" i="1"/>
  <c r="M159" i="1"/>
  <c r="M175" i="1"/>
  <c r="M191" i="1"/>
  <c r="M207" i="1"/>
  <c r="M223" i="1"/>
  <c r="M239" i="1"/>
  <c r="M255" i="1"/>
  <c r="M271" i="1"/>
  <c r="M287" i="1"/>
  <c r="M303" i="1"/>
  <c r="M319" i="1"/>
  <c r="M335" i="1"/>
  <c r="M351" i="1"/>
  <c r="M367" i="1"/>
  <c r="M383" i="1"/>
  <c r="M399" i="1"/>
  <c r="M32" i="1"/>
  <c r="M80" i="1"/>
  <c r="M112" i="1"/>
  <c r="M160" i="1"/>
  <c r="M192" i="1"/>
  <c r="M208" i="1"/>
  <c r="M224" i="1"/>
  <c r="M240" i="1"/>
  <c r="M256" i="1"/>
  <c r="M272" i="1"/>
  <c r="M288" i="1"/>
  <c r="M304" i="1"/>
  <c r="M320" i="1"/>
  <c r="M336" i="1"/>
  <c r="M352" i="1"/>
  <c r="M368" i="1"/>
  <c r="M384" i="1"/>
  <c r="M400" i="1"/>
  <c r="M31" i="1"/>
  <c r="M47" i="1"/>
  <c r="M79" i="1"/>
  <c r="M111" i="1"/>
  <c r="M16" i="1"/>
  <c r="M48" i="1"/>
  <c r="M64" i="1"/>
  <c r="M96" i="1"/>
  <c r="M128" i="1"/>
  <c r="M144" i="1"/>
  <c r="M176" i="1"/>
  <c r="M17" i="1"/>
  <c r="M33" i="1"/>
  <c r="M49" i="1"/>
  <c r="M65" i="1"/>
  <c r="M81" i="1"/>
  <c r="M97" i="1"/>
  <c r="M113" i="1"/>
  <c r="M129" i="1"/>
  <c r="M145" i="1"/>
  <c r="M161" i="1"/>
  <c r="M177" i="1"/>
  <c r="M193" i="1"/>
  <c r="M209" i="1"/>
  <c r="M225" i="1"/>
  <c r="M241" i="1"/>
  <c r="M257" i="1"/>
  <c r="M273" i="1"/>
  <c r="M289" i="1"/>
  <c r="M305" i="1"/>
  <c r="M321" i="1"/>
  <c r="M337" i="1"/>
  <c r="M353" i="1"/>
  <c r="M369" i="1"/>
  <c r="M385" i="1"/>
  <c r="M401" i="1"/>
  <c r="M162" i="1"/>
  <c r="M178" i="1"/>
  <c r="M194" i="1"/>
  <c r="M210" i="1"/>
  <c r="M226" i="1"/>
  <c r="M242" i="1"/>
  <c r="M258" i="1"/>
  <c r="M274" i="1"/>
  <c r="M290" i="1"/>
  <c r="M306" i="1"/>
  <c r="M322" i="1"/>
  <c r="M338" i="1"/>
  <c r="M354" i="1"/>
  <c r="M370" i="1"/>
  <c r="M386" i="1"/>
  <c r="M402" i="1"/>
  <c r="M163" i="1"/>
  <c r="M179" i="1"/>
  <c r="M195" i="1"/>
  <c r="M211" i="1"/>
  <c r="M227" i="1"/>
  <c r="M243" i="1"/>
  <c r="M259" i="1"/>
  <c r="M275" i="1"/>
  <c r="M291" i="1"/>
  <c r="M307" i="1"/>
  <c r="M323" i="1"/>
  <c r="M339" i="1"/>
  <c r="M355" i="1"/>
  <c r="M371" i="1"/>
  <c r="M387" i="1"/>
  <c r="M403" i="1"/>
  <c r="M132" i="1"/>
  <c r="M148" i="1"/>
  <c r="M164" i="1"/>
  <c r="M180" i="1"/>
  <c r="M196" i="1"/>
  <c r="M212" i="1"/>
  <c r="M228" i="1"/>
  <c r="M244" i="1"/>
  <c r="M260" i="1"/>
  <c r="M276" i="1"/>
  <c r="M292" i="1"/>
  <c r="M308" i="1"/>
  <c r="M324" i="1"/>
  <c r="M340" i="1"/>
  <c r="M356" i="1"/>
  <c r="M372" i="1"/>
  <c r="M388" i="1"/>
  <c r="M404" i="1"/>
  <c r="M165" i="1"/>
  <c r="M181" i="1"/>
  <c r="M197" i="1"/>
  <c r="M213" i="1"/>
  <c r="M229" i="1"/>
  <c r="M245" i="1"/>
  <c r="M261" i="1"/>
  <c r="M277" i="1"/>
  <c r="M293" i="1"/>
  <c r="M309" i="1"/>
  <c r="M325" i="1"/>
  <c r="M341" i="1"/>
  <c r="M357" i="1"/>
  <c r="M373" i="1"/>
  <c r="M389" i="1"/>
  <c r="M405" i="1"/>
  <c r="M134" i="1"/>
  <c r="M150" i="1"/>
  <c r="M166" i="1"/>
  <c r="M182" i="1"/>
  <c r="M198" i="1"/>
  <c r="M214" i="1"/>
  <c r="M230" i="1"/>
  <c r="M246" i="1"/>
  <c r="M262" i="1"/>
  <c r="M278" i="1"/>
  <c r="M294" i="1"/>
  <c r="M310" i="1"/>
  <c r="M326" i="1"/>
  <c r="M342" i="1"/>
  <c r="M358" i="1"/>
  <c r="M374" i="1"/>
  <c r="M390" i="1"/>
  <c r="M406" i="1"/>
  <c r="M135" i="1"/>
  <c r="M151" i="1"/>
  <c r="M167" i="1"/>
  <c r="M183" i="1"/>
  <c r="M199" i="1"/>
  <c r="M215" i="1"/>
  <c r="M231" i="1"/>
  <c r="M247" i="1"/>
  <c r="M263" i="1"/>
  <c r="M279" i="1"/>
  <c r="M295" i="1"/>
  <c r="M311" i="1"/>
  <c r="M327" i="1"/>
  <c r="M343" i="1"/>
  <c r="M359" i="1"/>
  <c r="M375" i="1"/>
  <c r="M391" i="1"/>
  <c r="M407" i="1"/>
  <c r="M136" i="1"/>
  <c r="M152" i="1"/>
  <c r="M168" i="1"/>
  <c r="M184" i="1"/>
  <c r="M200" i="1"/>
  <c r="M216" i="1"/>
  <c r="M232" i="1"/>
  <c r="M248" i="1"/>
  <c r="M264" i="1"/>
  <c r="M280" i="1"/>
  <c r="M296" i="1"/>
  <c r="M312" i="1"/>
  <c r="M328" i="1"/>
  <c r="M344" i="1"/>
  <c r="M360" i="1"/>
  <c r="M376" i="1"/>
  <c r="M392" i="1"/>
  <c r="M408" i="1"/>
  <c r="M57" i="1"/>
  <c r="M73" i="1"/>
  <c r="M89" i="1"/>
  <c r="M105" i="1"/>
  <c r="M121" i="1"/>
  <c r="M137" i="1"/>
  <c r="M153" i="1"/>
  <c r="M169" i="1"/>
  <c r="M185" i="1"/>
  <c r="M201" i="1"/>
  <c r="M217" i="1"/>
  <c r="M233" i="1"/>
  <c r="M249" i="1"/>
  <c r="M265" i="1"/>
  <c r="M281" i="1"/>
  <c r="M297" i="1"/>
  <c r="M313" i="1"/>
  <c r="M329" i="1"/>
  <c r="M345" i="1"/>
  <c r="M361" i="1"/>
  <c r="M377" i="1"/>
  <c r="M393" i="1"/>
  <c r="M409" i="1"/>
  <c r="M138" i="1"/>
  <c r="M154" i="1"/>
  <c r="M170" i="1"/>
  <c r="M186" i="1"/>
  <c r="M202" i="1"/>
  <c r="M218" i="1"/>
  <c r="M234" i="1"/>
  <c r="M250" i="1"/>
  <c r="M266" i="1"/>
  <c r="M282" i="1"/>
  <c r="M298" i="1"/>
  <c r="M314" i="1"/>
  <c r="M330" i="1"/>
  <c r="M346" i="1"/>
  <c r="M362" i="1"/>
  <c r="M378" i="1"/>
  <c r="M394" i="1"/>
  <c r="L329" i="1"/>
  <c r="L347" i="1"/>
  <c r="L291" i="1"/>
  <c r="L30" i="1"/>
  <c r="L322" i="1"/>
  <c r="L168" i="1"/>
  <c r="L119" i="1"/>
  <c r="L236" i="1"/>
  <c r="L391" i="1"/>
  <c r="L56" i="1"/>
  <c r="L83" i="1"/>
  <c r="L246" i="1"/>
  <c r="L342" i="1"/>
  <c r="L20" i="1"/>
  <c r="L245" i="1"/>
  <c r="L200" i="1"/>
  <c r="L351" i="1"/>
  <c r="L12" i="1"/>
  <c r="L5" i="1"/>
  <c r="L140" i="1"/>
  <c r="L232" i="1"/>
  <c r="L294" i="1"/>
  <c r="L96" i="1"/>
  <c r="L19" i="1"/>
  <c r="L178" i="1"/>
  <c r="L386" i="1"/>
  <c r="L220" i="1"/>
  <c r="L375" i="1"/>
  <c r="L295" i="1"/>
  <c r="L190" i="1"/>
  <c r="L163" i="1"/>
  <c r="L221" i="1"/>
  <c r="L387" i="1"/>
  <c r="L308" i="1"/>
  <c r="L138" i="1"/>
  <c r="L116" i="1"/>
  <c r="L372" i="1"/>
  <c r="L285" i="1"/>
  <c r="L123" i="1"/>
  <c r="L369" i="1"/>
  <c r="L89" i="1"/>
  <c r="L321" i="1"/>
  <c r="L281" i="1"/>
  <c r="L230" i="1"/>
  <c r="L249" i="1"/>
  <c r="L349" i="1"/>
  <c r="L68" i="1"/>
  <c r="L379" i="1"/>
  <c r="L215" i="1"/>
  <c r="L256" i="1"/>
  <c r="L182" i="1"/>
  <c r="L78" i="1"/>
  <c r="L209" i="1"/>
  <c r="L255" i="1"/>
  <c r="L8" i="1"/>
  <c r="L107" i="1"/>
  <c r="L313" i="1"/>
  <c r="L226" i="1"/>
  <c r="L388" i="1"/>
  <c r="L81" i="1"/>
  <c r="L300" i="1"/>
  <c r="L85" i="1"/>
  <c r="L128" i="1"/>
  <c r="L62" i="1"/>
  <c r="L242" i="1"/>
  <c r="L36" i="1"/>
  <c r="L224" i="1"/>
  <c r="L283" i="1"/>
  <c r="L155" i="1"/>
  <c r="L331" i="1"/>
  <c r="L100" i="1"/>
  <c r="L289" i="1"/>
  <c r="L121" i="1"/>
  <c r="L104" i="1"/>
  <c r="L134" i="1"/>
  <c r="L38" i="1"/>
  <c r="L341" i="1"/>
  <c r="L47" i="1"/>
  <c r="L118" i="1"/>
  <c r="L179" i="1"/>
  <c r="L143" i="1"/>
  <c r="L257" i="1"/>
  <c r="L315" i="1"/>
  <c r="L357" i="1"/>
  <c r="L362" i="1"/>
  <c r="L59" i="1"/>
  <c r="L380" i="1"/>
  <c r="L185" i="1"/>
  <c r="L14" i="1"/>
  <c r="L268" i="1"/>
  <c r="L333" i="1"/>
  <c r="L101" i="1"/>
  <c r="L66" i="1"/>
  <c r="L169" i="1"/>
  <c r="L173" i="1"/>
  <c r="L69" i="1"/>
  <c r="L32" i="1"/>
  <c r="L24" i="1"/>
  <c r="L149" i="1"/>
  <c r="L28" i="1"/>
  <c r="L203" i="1"/>
  <c r="L52" i="1"/>
  <c r="L4" i="1"/>
  <c r="L312" i="1"/>
  <c r="L264" i="1"/>
  <c r="L106" i="1"/>
  <c r="L258" i="1"/>
  <c r="L60" i="1"/>
  <c r="L280" i="1"/>
  <c r="L161" i="1"/>
  <c r="L199" i="1"/>
  <c r="L396" i="1"/>
  <c r="L34" i="1"/>
  <c r="L180" i="1"/>
  <c r="L7" i="1"/>
  <c r="L192" i="1"/>
  <c r="L293" i="1"/>
  <c r="L120" i="1"/>
  <c r="L406" i="1"/>
  <c r="L368" i="1"/>
  <c r="L146" i="1"/>
  <c r="L395" i="1"/>
  <c r="L98" i="1"/>
  <c r="L269" i="1"/>
  <c r="L394" i="1"/>
  <c r="L371" i="1"/>
  <c r="L51" i="1"/>
  <c r="L79" i="1"/>
  <c r="L401" i="1"/>
  <c r="L348" i="1"/>
  <c r="L55" i="1"/>
  <c r="L159" i="1"/>
  <c r="L248" i="1"/>
  <c r="L265" i="1"/>
  <c r="L332" i="1"/>
  <c r="L288" i="1"/>
  <c r="L172" i="1"/>
  <c r="L370" i="1"/>
  <c r="L408" i="1"/>
  <c r="L270" i="1"/>
  <c r="L58" i="1"/>
  <c r="L33" i="1"/>
  <c r="L309" i="1"/>
  <c r="L22" i="1"/>
  <c r="L188" i="1"/>
  <c r="L195" i="1"/>
  <c r="L80" i="1"/>
  <c r="L189" i="1"/>
  <c r="L319" i="1"/>
  <c r="L191" i="1"/>
  <c r="L340" i="1"/>
  <c r="L151" i="1"/>
  <c r="L76" i="1"/>
  <c r="L142" i="1"/>
  <c r="L115" i="1"/>
  <c r="L346" i="1"/>
  <c r="L393" i="1"/>
  <c r="L262" i="1"/>
  <c r="L93" i="1"/>
  <c r="L111" i="1"/>
  <c r="L339" i="1"/>
  <c r="L10" i="1"/>
  <c r="L43" i="1"/>
  <c r="L254" i="1"/>
  <c r="L239" i="1"/>
  <c r="L244" i="1"/>
  <c r="L274" i="1"/>
  <c r="L344" i="1"/>
  <c r="L25" i="1"/>
  <c r="L207" i="1"/>
  <c r="L174" i="1"/>
  <c r="L286" i="1"/>
  <c r="L302" i="1"/>
  <c r="L170" i="1"/>
  <c r="L112" i="1"/>
  <c r="L290" i="1"/>
  <c r="L240" i="1"/>
  <c r="L65" i="1"/>
  <c r="L21" i="1"/>
  <c r="L404" i="1"/>
  <c r="L397" i="1"/>
  <c r="L384" i="1"/>
  <c r="L205" i="1"/>
  <c r="L235" i="1"/>
  <c r="L358" i="1"/>
  <c r="L355" i="1"/>
  <c r="L271" i="1"/>
  <c r="L366" i="1"/>
  <c r="L263" i="1"/>
  <c r="L6" i="1"/>
  <c r="L194" i="1"/>
  <c r="L323" i="1"/>
  <c r="L385" i="1"/>
  <c r="L95" i="1"/>
  <c r="L298" i="1"/>
  <c r="L145" i="1"/>
  <c r="L225" i="1"/>
  <c r="L306" i="1"/>
  <c r="L177" i="1"/>
  <c r="L222" i="1"/>
  <c r="L325" i="1"/>
  <c r="L71" i="1"/>
  <c r="L131" i="1"/>
  <c r="L99" i="1"/>
  <c r="L311" i="1"/>
  <c r="L352" i="1"/>
  <c r="L383" i="1"/>
  <c r="L130" i="1"/>
  <c r="L272" i="1"/>
  <c r="L175" i="1"/>
  <c r="L144" i="1"/>
  <c r="L251" i="1"/>
  <c r="L122" i="1"/>
  <c r="L219" i="1"/>
  <c r="L31" i="1"/>
  <c r="L327" i="1"/>
  <c r="L57" i="1"/>
  <c r="L218" i="1"/>
  <c r="L86" i="1"/>
  <c r="L15" i="1"/>
  <c r="L141" i="1"/>
  <c r="L166" i="1"/>
  <c r="L296" i="1"/>
  <c r="L103" i="1"/>
  <c r="L204" i="1"/>
  <c r="L124" i="1"/>
  <c r="L301" i="1"/>
  <c r="L216" i="1"/>
  <c r="L117" i="1"/>
  <c r="L126" i="1"/>
  <c r="L234" i="1"/>
  <c r="L54" i="1"/>
  <c r="L260" i="1"/>
  <c r="L210" i="1"/>
  <c r="L167" i="1"/>
  <c r="L202" i="1"/>
  <c r="L403" i="1"/>
  <c r="L237" i="1"/>
  <c r="L367" i="1"/>
  <c r="L253" i="1"/>
  <c r="L132" i="1"/>
  <c r="L147" i="1"/>
  <c r="L74" i="1"/>
  <c r="L250" i="1"/>
  <c r="L88" i="1"/>
  <c r="L63" i="1"/>
  <c r="L181" i="1"/>
  <c r="L29" i="1"/>
  <c r="L53" i="1"/>
  <c r="L365" i="1"/>
  <c r="L377" i="1"/>
  <c r="L336" i="1"/>
  <c r="L160" i="1"/>
  <c r="L392" i="1"/>
  <c r="L350" i="1"/>
  <c r="L113" i="1"/>
  <c r="L227" i="1"/>
  <c r="L91" i="1"/>
  <c r="L292" i="1"/>
  <c r="L46" i="1"/>
  <c r="L359" i="1"/>
  <c r="L17" i="1"/>
  <c r="L64" i="1"/>
  <c r="L206" i="1"/>
  <c r="L324" i="1"/>
  <c r="L84" i="1"/>
  <c r="L39" i="1"/>
  <c r="L13" i="1"/>
  <c r="L2" i="1"/>
  <c r="L231" i="1"/>
  <c r="L243" i="1"/>
  <c r="L409" i="1"/>
  <c r="L338" i="1"/>
  <c r="L162" i="1"/>
  <c r="L410" i="1"/>
  <c r="L70" i="1"/>
  <c r="L75" i="1"/>
  <c r="L72" i="1"/>
  <c r="L153" i="1"/>
  <c r="L211" i="1"/>
  <c r="L171" i="1"/>
  <c r="L297" i="1"/>
  <c r="L314" i="1"/>
  <c r="L320" i="1"/>
  <c r="L361" i="1"/>
  <c r="L214" i="1"/>
  <c r="L67" i="1"/>
  <c r="L37" i="1"/>
  <c r="L287" i="1"/>
  <c r="L345" i="1"/>
  <c r="L40" i="1"/>
  <c r="L353" i="1"/>
  <c r="L196" i="1"/>
  <c r="L18" i="1"/>
  <c r="L228" i="1"/>
  <c r="L328" i="1"/>
  <c r="L11" i="1"/>
  <c r="L77" i="1"/>
  <c r="L241" i="1"/>
  <c r="L303" i="1"/>
  <c r="L197" i="1"/>
  <c r="L330" i="1"/>
  <c r="L316" i="1"/>
  <c r="L201" i="1"/>
  <c r="L305" i="1"/>
  <c r="L42" i="1"/>
  <c r="L26" i="1"/>
  <c r="L184" i="1"/>
  <c r="L87" i="1"/>
  <c r="L9" i="1"/>
  <c r="L148" i="1"/>
  <c r="L139" i="1"/>
  <c r="L48" i="1"/>
  <c r="L158" i="1"/>
  <c r="L44" i="1"/>
  <c r="L136" i="1"/>
  <c r="L378" i="1"/>
  <c r="L317" i="1"/>
  <c r="L278" i="1"/>
  <c r="L212" i="1"/>
  <c r="L125" i="1"/>
  <c r="L275" i="1"/>
  <c r="L176" i="1"/>
  <c r="L381" i="1"/>
  <c r="L261" i="1"/>
  <c r="L284" i="1"/>
  <c r="L150" i="1"/>
  <c r="L45" i="1"/>
  <c r="L304" i="1"/>
  <c r="L61" i="1"/>
  <c r="L110" i="1"/>
  <c r="L402" i="1"/>
  <c r="L164" i="1"/>
  <c r="L389" i="1"/>
  <c r="L354" i="1"/>
  <c r="L16" i="1"/>
  <c r="L154" i="1"/>
  <c r="L266" i="1"/>
  <c r="L407" i="1"/>
  <c r="L208" i="1"/>
  <c r="L252" i="1"/>
  <c r="L114" i="1"/>
  <c r="L27" i="1"/>
  <c r="L133" i="1"/>
  <c r="L50" i="1"/>
  <c r="L399" i="1"/>
  <c r="L259" i="1"/>
  <c r="L334" i="1"/>
  <c r="L376" i="1"/>
  <c r="L307" i="1"/>
  <c r="L282" i="1"/>
  <c r="L267" i="1"/>
  <c r="L23" i="1"/>
  <c r="L217" i="1"/>
  <c r="L400" i="1"/>
  <c r="L247" i="1"/>
  <c r="L157" i="1"/>
  <c r="L335" i="1"/>
  <c r="L318" i="1"/>
  <c r="L326" i="1"/>
  <c r="L363" i="1"/>
  <c r="L183" i="1"/>
  <c r="L213" i="1"/>
  <c r="L102" i="1"/>
  <c r="L229" i="1"/>
  <c r="L238" i="1"/>
  <c r="L276" i="1"/>
  <c r="L41" i="1"/>
  <c r="L299" i="1"/>
  <c r="L279" i="1"/>
  <c r="L90" i="1"/>
  <c r="L156" i="1"/>
  <c r="L94" i="1"/>
  <c r="L273" i="1"/>
  <c r="L198" i="1"/>
  <c r="L165" i="1"/>
  <c r="L223" i="1"/>
  <c r="L343" i="1"/>
  <c r="L129" i="1"/>
  <c r="L135" i="1"/>
  <c r="L382" i="1"/>
  <c r="L277" i="1"/>
  <c r="L127" i="1"/>
  <c r="L82" i="1"/>
  <c r="L233" i="1"/>
  <c r="L374" i="1"/>
  <c r="L3" i="1"/>
  <c r="L35" i="1"/>
  <c r="L105" i="1"/>
  <c r="L49" i="1"/>
  <c r="L405" i="1"/>
  <c r="L137" i="1"/>
  <c r="L193" i="1"/>
  <c r="L390" i="1"/>
  <c r="L187" i="1"/>
  <c r="L364" i="1"/>
  <c r="L73" i="1"/>
  <c r="L92" i="1"/>
  <c r="L152" i="1"/>
  <c r="L186" i="1"/>
  <c r="L373" i="1"/>
  <c r="L109" i="1"/>
  <c r="L337" i="1"/>
  <c r="L398" i="1"/>
  <c r="L108" i="1"/>
  <c r="L360" i="1"/>
  <c r="L310" i="1"/>
  <c r="L356" i="1"/>
  <c r="L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tc={5C0F211F-FCB1-4B7C-AB57-59E8376A5251}</author>
  </authors>
  <commentList>
    <comment ref="G1" authorId="0" shapeId="0" xr:uid="{5C0F211F-FCB1-4B7C-AB57-59E8376A52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los tres niveles, doy prioridad a la taxonomía del EVA más reciente</t>
      </text>
    </comment>
  </commentList>
</comments>
</file>

<file path=xl/sharedStrings.xml><?xml version="1.0" encoding="utf-8"?>
<sst xmlns="http://schemas.openxmlformats.org/spreadsheetml/2006/main" count="3126" uniqueCount="435">
  <si>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</si>
  <si>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</si>
  <si>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</si>
  <si>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</si>
  <si>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</si>
  <si>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</si>
  <si>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</si>
  <si>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</si>
  <si>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</si>
  <si>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</si>
  <si>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</si>
  <si>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Permanente</t>
  </si>
  <si>
    <t>Transitorio</t>
  </si>
  <si>
    <t>TRANSITORIO</t>
  </si>
  <si>
    <t>ANUAL</t>
  </si>
  <si>
    <t>OTROS PERMANENTES</t>
  </si>
  <si>
    <t>Cultivos tropicales tradicionales</t>
  </si>
  <si>
    <t>Oleaginosas</t>
  </si>
  <si>
    <t>Cereales</t>
  </si>
  <si>
    <t>OLEAGINOSAS</t>
  </si>
  <si>
    <t>CEREALES</t>
  </si>
  <si>
    <t>Frutales</t>
  </si>
  <si>
    <t>TUBERCULOS Y PLATANOS</t>
  </si>
  <si>
    <t>Raíces y tubérculos</t>
  </si>
  <si>
    <t>Leguminosas</t>
  </si>
  <si>
    <t>LEGUMINOSAS</t>
  </si>
  <si>
    <t>FRUTALES</t>
  </si>
  <si>
    <t>FORESTALES</t>
  </si>
  <si>
    <t>Hortalizas</t>
  </si>
  <si>
    <t>HORTALIZAS</t>
  </si>
  <si>
    <t>FIBRAS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</si>
  <si>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</si>
  <si>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</si>
  <si>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</si>
  <si>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</si>
  <si>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</si>
  <si>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</si>
  <si>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Café</t>
  </si>
  <si>
    <t>Palma de aceite</t>
  </si>
  <si>
    <t>Arroz</t>
  </si>
  <si>
    <t>PALMA DE ACEITE</t>
  </si>
  <si>
    <t>ARROZ</t>
  </si>
  <si>
    <t>MAIZ</t>
  </si>
  <si>
    <t>Maíz</t>
  </si>
  <si>
    <t>Caña</t>
  </si>
  <si>
    <t>Plátano</t>
  </si>
  <si>
    <t>PLATANO</t>
  </si>
  <si>
    <t>CAÑA AZUCARERA</t>
  </si>
  <si>
    <t>CAÑA PANELERA</t>
  </si>
  <si>
    <t>Cacao</t>
  </si>
  <si>
    <t>CACAO</t>
  </si>
  <si>
    <t>Yuca</t>
  </si>
  <si>
    <t>YUCA</t>
  </si>
  <si>
    <t>Papa</t>
  </si>
  <si>
    <t>PAPA</t>
  </si>
  <si>
    <t>Frijol</t>
  </si>
  <si>
    <t>FRIJOL</t>
  </si>
  <si>
    <t>Banano</t>
  </si>
  <si>
    <t>Aguacate</t>
  </si>
  <si>
    <t>BANANO</t>
  </si>
  <si>
    <t>AGUACATE</t>
  </si>
  <si>
    <t>CAUCHO</t>
  </si>
  <si>
    <t>SOYA</t>
  </si>
  <si>
    <t>Soya</t>
  </si>
  <si>
    <t>Otros cítricos</t>
  </si>
  <si>
    <t>CITRICOS</t>
  </si>
  <si>
    <t>Mango</t>
  </si>
  <si>
    <t>PIÑA</t>
  </si>
  <si>
    <t>Ñame</t>
  </si>
  <si>
    <t>ÑAME</t>
  </si>
  <si>
    <t>Arveja</t>
  </si>
  <si>
    <t>MANGO</t>
  </si>
  <si>
    <t>ARVEJA</t>
  </si>
  <si>
    <t>Piña</t>
  </si>
  <si>
    <t>Coco</t>
  </si>
  <si>
    <t>NARANJA</t>
  </si>
  <si>
    <t>COCO</t>
  </si>
  <si>
    <t>Naranja</t>
  </si>
  <si>
    <t>Limón</t>
  </si>
  <si>
    <t>Tomate</t>
  </si>
  <si>
    <t>LIMON</t>
  </si>
  <si>
    <t>TOMATE</t>
  </si>
  <si>
    <t>Mora</t>
  </si>
  <si>
    <t>Fique</t>
  </si>
  <si>
    <t>MORA</t>
  </si>
  <si>
    <t>ALGODON</t>
  </si>
  <si>
    <t>Patilla</t>
  </si>
  <si>
    <t>FIQUE</t>
  </si>
  <si>
    <t>Cebolla de bulbo</t>
  </si>
  <si>
    <t>Algodón</t>
  </si>
  <si>
    <t>CEBOLLA DE BULBO</t>
  </si>
  <si>
    <t>Ahuyama</t>
  </si>
  <si>
    <t>Guayaba</t>
  </si>
  <si>
    <t>MANDARINA</t>
  </si>
  <si>
    <t>GUAYABA</t>
  </si>
  <si>
    <t>Mandarina</t>
  </si>
  <si>
    <t>Chontaduro</t>
  </si>
  <si>
    <t>PATILLA</t>
  </si>
  <si>
    <t>CHONTADURO</t>
  </si>
  <si>
    <t>ZANAHORIA</t>
  </si>
  <si>
    <t>Tomate de árbol</t>
  </si>
  <si>
    <t>AHUYAMA</t>
  </si>
  <si>
    <t>Cebolla de rama</t>
  </si>
  <si>
    <t>Zanahoria</t>
  </si>
  <si>
    <t>TOMATE DE ARBOL</t>
  </si>
  <si>
    <t>Arracacha</t>
  </si>
  <si>
    <t>Maracuyá</t>
  </si>
  <si>
    <t>Lulo</t>
  </si>
  <si>
    <t>LULO</t>
  </si>
  <si>
    <t>MARACUYA</t>
  </si>
  <si>
    <t>ARRACACHA</t>
  </si>
  <si>
    <t>Papaya</t>
  </si>
  <si>
    <t>HORTALIZAS VARIAS</t>
  </si>
  <si>
    <t>Otras hortalizas</t>
  </si>
  <si>
    <t>HABICHUELA</t>
  </si>
  <si>
    <t>PAPAYA</t>
  </si>
  <si>
    <t>CEBOLLA DE RAMA</t>
  </si>
  <si>
    <t>Malanga, achín, yota, papa china, bore</t>
  </si>
  <si>
    <t>GUANABANA</t>
  </si>
  <si>
    <t>Habichuela</t>
  </si>
  <si>
    <t>BANANITO</t>
  </si>
  <si>
    <t>Guanábana</t>
  </si>
  <si>
    <t>Tabaco</t>
  </si>
  <si>
    <t>AJONJOLI</t>
  </si>
  <si>
    <t>Lechuga</t>
  </si>
  <si>
    <t>Melón</t>
  </si>
  <si>
    <t>Marañón</t>
  </si>
  <si>
    <t>MELON</t>
  </si>
  <si>
    <t>Granadilla</t>
  </si>
  <si>
    <t>LECHUGA</t>
  </si>
  <si>
    <t>AJI</t>
  </si>
  <si>
    <t>Ajonjolí</t>
  </si>
  <si>
    <t>GRANADILLA</t>
  </si>
  <si>
    <t>Ají</t>
  </si>
  <si>
    <t>CAÑA MIEL</t>
  </si>
  <si>
    <t>MALANGA</t>
  </si>
  <si>
    <t>TABACO RUBIO</t>
  </si>
  <si>
    <t>Asaí</t>
  </si>
  <si>
    <t>ASAI</t>
  </si>
  <si>
    <t>Cilantro</t>
  </si>
  <si>
    <t>MARAÑON</t>
  </si>
  <si>
    <t>Pimentón</t>
  </si>
  <si>
    <t>Lima</t>
  </si>
  <si>
    <t>LIMA</t>
  </si>
  <si>
    <t>SACHA INCHI</t>
  </si>
  <si>
    <t>MAIZ FORRAJERO</t>
  </si>
  <si>
    <t>PIMENTON</t>
  </si>
  <si>
    <t>Borojó</t>
  </si>
  <si>
    <t>CILANTRO</t>
  </si>
  <si>
    <t>Fresa</t>
  </si>
  <si>
    <t>UVA</t>
  </si>
  <si>
    <t>Uva</t>
  </si>
  <si>
    <t>BOROJO</t>
  </si>
  <si>
    <t>DURAZNO</t>
  </si>
  <si>
    <t>FRESA</t>
  </si>
  <si>
    <t>Durazno o albaricoque</t>
  </si>
  <si>
    <t>Sorgo</t>
  </si>
  <si>
    <t>MANI</t>
  </si>
  <si>
    <t>SORGO</t>
  </si>
  <si>
    <t>Avena</t>
  </si>
  <si>
    <t>TABACO NEGRO</t>
  </si>
  <si>
    <t>Gulupa o cholupa</t>
  </si>
  <si>
    <t>PITAHAYA</t>
  </si>
  <si>
    <t>GULUPA</t>
  </si>
  <si>
    <t>Guandul</t>
  </si>
  <si>
    <t>Achira</t>
  </si>
  <si>
    <t>AVENA</t>
  </si>
  <si>
    <t>Maní</t>
  </si>
  <si>
    <t>Pitahaya</t>
  </si>
  <si>
    <t>HORTENSIA</t>
  </si>
  <si>
    <t>Cebada</t>
  </si>
  <si>
    <t>TRIGO</t>
  </si>
  <si>
    <t>Pepino Cohombro</t>
  </si>
  <si>
    <t>UCHUVA</t>
  </si>
  <si>
    <t>Pera</t>
  </si>
  <si>
    <t>PEPINO COHOMBRO</t>
  </si>
  <si>
    <t>Trigo</t>
  </si>
  <si>
    <t>REPOLLO</t>
  </si>
  <si>
    <t>CIRUELA</t>
  </si>
  <si>
    <t>Achiote</t>
  </si>
  <si>
    <t>Uchuva</t>
  </si>
  <si>
    <t>Ciruela</t>
  </si>
  <si>
    <t>Curuba</t>
  </si>
  <si>
    <t>CURUBA</t>
  </si>
  <si>
    <t>Repollo</t>
  </si>
  <si>
    <t>Pimienta</t>
  </si>
  <si>
    <t>PIMIENTA</t>
  </si>
  <si>
    <t>PERA</t>
  </si>
  <si>
    <t>Sacha inchi</t>
  </si>
  <si>
    <t>CEBADA</t>
  </si>
  <si>
    <t>ACHIRA</t>
  </si>
  <si>
    <t>HABA</t>
  </si>
  <si>
    <t>GUANDUL</t>
  </si>
  <si>
    <t>Haba</t>
  </si>
  <si>
    <t>Calabacín, calabaza</t>
  </si>
  <si>
    <t>Berenjena</t>
  </si>
  <si>
    <t>Brócoli</t>
  </si>
  <si>
    <t>Remolacha</t>
  </si>
  <si>
    <t>BROCOLI</t>
  </si>
  <si>
    <t>AJO</t>
  </si>
  <si>
    <t>Plantas aromáticas</t>
  </si>
  <si>
    <t>QUINUA</t>
  </si>
  <si>
    <t>Quinua</t>
  </si>
  <si>
    <t>APIO</t>
  </si>
  <si>
    <t>Arbol de pan o pepa del pan</t>
  </si>
  <si>
    <t>PEPA DE PAN</t>
  </si>
  <si>
    <t>ACHIOTE</t>
  </si>
  <si>
    <t>REMOLACHA</t>
  </si>
  <si>
    <t>Ajo</t>
  </si>
  <si>
    <t>ZAPOTE</t>
  </si>
  <si>
    <t>Apio</t>
  </si>
  <si>
    <t>Sábila</t>
  </si>
  <si>
    <t>BERENJENA</t>
  </si>
  <si>
    <t>COLIFLOR</t>
  </si>
  <si>
    <t>ULLUCO</t>
  </si>
  <si>
    <t>ALFALFA</t>
  </si>
  <si>
    <t>Zapote</t>
  </si>
  <si>
    <t>MANZANA</t>
  </si>
  <si>
    <t>SABILA</t>
  </si>
  <si>
    <t>Coliflor</t>
  </si>
  <si>
    <t>Albahaca</t>
  </si>
  <si>
    <t>ROSA</t>
  </si>
  <si>
    <t>FRUTALES VARIOS</t>
  </si>
  <si>
    <t>CAÑA FLECHA</t>
  </si>
  <si>
    <t>Manzana</t>
  </si>
  <si>
    <t>BREVO</t>
  </si>
  <si>
    <t>PEPINO GUISO</t>
  </si>
  <si>
    <t>Otros frutales</t>
  </si>
  <si>
    <t>Pepino Guiso</t>
  </si>
  <si>
    <t>Agraz - mortiño</t>
  </si>
  <si>
    <t>Ulluco</t>
  </si>
  <si>
    <t>PLANTAS AROMATICAS</t>
  </si>
  <si>
    <t>Macadamia</t>
  </si>
  <si>
    <t>Brevo</t>
  </si>
  <si>
    <t>AGRAZ</t>
  </si>
  <si>
    <t>CALABAZA</t>
  </si>
  <si>
    <t>Espinaca</t>
  </si>
  <si>
    <t>FEIJOA</t>
  </si>
  <si>
    <t>ESPINACA</t>
  </si>
  <si>
    <t>Feijoa</t>
  </si>
  <si>
    <t>MACADAMIA</t>
  </si>
  <si>
    <t>TANGELO</t>
  </si>
  <si>
    <t>Arándano</t>
  </si>
  <si>
    <t>Iraca</t>
  </si>
  <si>
    <t>IRACA</t>
  </si>
  <si>
    <t>CHIRIMOYA</t>
  </si>
  <si>
    <t>Badea</t>
  </si>
  <si>
    <t>CHOLUPA</t>
  </si>
  <si>
    <t>Acelga</t>
  </si>
  <si>
    <t>BADEA</t>
  </si>
  <si>
    <t>Chirimoya</t>
  </si>
  <si>
    <t>CLAVEL</t>
  </si>
  <si>
    <t>CALABACIN</t>
  </si>
  <si>
    <t>CRISANTEMO</t>
  </si>
  <si>
    <t>Copoazú</t>
  </si>
  <si>
    <t>Mangostino</t>
  </si>
  <si>
    <t>Palmito</t>
  </si>
  <si>
    <t>PALMITO</t>
  </si>
  <si>
    <t>Batata</t>
  </si>
  <si>
    <t>ACELGA</t>
  </si>
  <si>
    <t>MANGOSTINO</t>
  </si>
  <si>
    <t>Arazá</t>
  </si>
  <si>
    <t>Cardamomo</t>
  </si>
  <si>
    <t>Ruscus</t>
  </si>
  <si>
    <t>Cimarrón</t>
  </si>
  <si>
    <t>GIRASOL</t>
  </si>
  <si>
    <t>RUSCUS</t>
  </si>
  <si>
    <t>ALBAHACA</t>
  </si>
  <si>
    <t>ARAZA</t>
  </si>
  <si>
    <t>PLANTAS AROMATICAS Y MEDICINALES</t>
  </si>
  <si>
    <t>Higo</t>
  </si>
  <si>
    <t>COPOAZU</t>
  </si>
  <si>
    <t>Otros cultivos para condimentos, bebidas medicinales y aromáticas</t>
  </si>
  <si>
    <t>HIGO</t>
  </si>
  <si>
    <t>CARDAMOMO</t>
  </si>
  <si>
    <t>COCCULUS</t>
  </si>
  <si>
    <t>Espárrago</t>
  </si>
  <si>
    <t>Uva Caimarona</t>
  </si>
  <si>
    <t>BATATA</t>
  </si>
  <si>
    <t>CEBOLLIN</t>
  </si>
  <si>
    <t>TOMILLO</t>
  </si>
  <si>
    <t>Higuerilla</t>
  </si>
  <si>
    <t>Garbanzo</t>
  </si>
  <si>
    <t>GARBANZO</t>
  </si>
  <si>
    <t>ANTURIO</t>
  </si>
  <si>
    <t>CIMARRON</t>
  </si>
  <si>
    <t>ESPARRAGO</t>
  </si>
  <si>
    <t>Té</t>
  </si>
  <si>
    <t>Perejil</t>
  </si>
  <si>
    <t>TE</t>
  </si>
  <si>
    <t>JATROPHA</t>
  </si>
  <si>
    <t>Níspero</t>
  </si>
  <si>
    <t>Col</t>
  </si>
  <si>
    <t>HELICONIA</t>
  </si>
  <si>
    <t>Caimo</t>
  </si>
  <si>
    <t>EUCALIPTO BABY BLUE</t>
  </si>
  <si>
    <t>LIMONARIA</t>
  </si>
  <si>
    <t>Limonaria</t>
  </si>
  <si>
    <t>PEREJIL</t>
  </si>
  <si>
    <t>UVA CAIMARONA</t>
  </si>
  <si>
    <t>CAIMO</t>
  </si>
  <si>
    <t>Papayuela -Babaco</t>
  </si>
  <si>
    <t>Cúrcuma o azafrán</t>
  </si>
  <si>
    <t>Tomillo</t>
  </si>
  <si>
    <t>GLADIOLO</t>
  </si>
  <si>
    <t>ARANDANO</t>
  </si>
  <si>
    <t>CADUCIFOLIOS</t>
  </si>
  <si>
    <t>Otros caducifolios</t>
  </si>
  <si>
    <t>GUATILA</t>
  </si>
  <si>
    <t>COL</t>
  </si>
  <si>
    <t>PAPAYUELA</t>
  </si>
  <si>
    <t>NISPERO</t>
  </si>
  <si>
    <t>PLANTAS MEDICINALES</t>
  </si>
  <si>
    <t>CURCUMA</t>
  </si>
  <si>
    <t>HELECHO</t>
  </si>
  <si>
    <t>Mamoncillo</t>
  </si>
  <si>
    <t>Guatila</t>
  </si>
  <si>
    <t>MAMONCILLO</t>
  </si>
  <si>
    <t>PROTEA</t>
  </si>
  <si>
    <t>Pomelo</t>
  </si>
  <si>
    <t>ESTROPAJO</t>
  </si>
  <si>
    <t>Chiraran - albahaca</t>
  </si>
  <si>
    <t>NABO</t>
  </si>
  <si>
    <t>ASTROMELIA</t>
  </si>
  <si>
    <t>Nabo</t>
  </si>
  <si>
    <t>Moringa</t>
  </si>
  <si>
    <t>RUDA</t>
  </si>
  <si>
    <t>ANON</t>
  </si>
  <si>
    <t>Rábano</t>
  </si>
  <si>
    <t>POMELO</t>
  </si>
  <si>
    <t>MENTA</t>
  </si>
  <si>
    <t>MORINGA</t>
  </si>
  <si>
    <t>CHAMPIÑON</t>
  </si>
  <si>
    <t>Romero</t>
  </si>
  <si>
    <t>Anón</t>
  </si>
  <si>
    <t>Noni</t>
  </si>
  <si>
    <t>NONI</t>
  </si>
  <si>
    <t>Ruda</t>
  </si>
  <si>
    <t>RABANO</t>
  </si>
  <si>
    <t>Tamarindo</t>
  </si>
  <si>
    <t>Jengibre</t>
  </si>
  <si>
    <t>TAMARINDO</t>
  </si>
  <si>
    <t>Guama</t>
  </si>
  <si>
    <t>HIGUERILLA</t>
  </si>
  <si>
    <t>Dátil</t>
  </si>
  <si>
    <t>DATIL</t>
  </si>
  <si>
    <t>Chamba</t>
  </si>
  <si>
    <t>PALMA ROBELINA</t>
  </si>
  <si>
    <t>CHAMBA</t>
  </si>
  <si>
    <t>Stevia</t>
  </si>
  <si>
    <t>MIMBRE</t>
  </si>
  <si>
    <t>Laurel</t>
  </si>
  <si>
    <t>ROMERO</t>
  </si>
  <si>
    <t>Menta</t>
  </si>
  <si>
    <t>STEVIA</t>
  </si>
  <si>
    <t>Frambuesa</t>
  </si>
  <si>
    <t>JENGIBRE</t>
  </si>
  <si>
    <t>GUAMA</t>
  </si>
  <si>
    <t>CHACHAFRUTO</t>
  </si>
  <si>
    <t>LAUREL</t>
  </si>
  <si>
    <t>Morera</t>
  </si>
  <si>
    <t>FRAMBUESA</t>
  </si>
  <si>
    <t>LIMONIUM</t>
  </si>
  <si>
    <t>ORQUIDEA</t>
  </si>
  <si>
    <t>MORERA</t>
  </si>
  <si>
    <t>STATICE</t>
  </si>
  <si>
    <t>Eva antiguo</t>
  </si>
  <si>
    <t>Eva nuevo</t>
  </si>
  <si>
    <t>Pendiente</t>
  </si>
  <si>
    <t>porcentaje acumulado armonizado  2018</t>
  </si>
  <si>
    <t>Armonizado</t>
  </si>
  <si>
    <t>porcentaje acumulado armonizado  2019</t>
  </si>
  <si>
    <t>Area sembrada</t>
  </si>
  <si>
    <t>La suma de los Tabacos de 2018 es coherente con el Tabaco de 2019</t>
  </si>
  <si>
    <t>La suma de las cañas de 2018 coincide con el valor de Caña en 2019</t>
  </si>
  <si>
    <t>2007-2018</t>
  </si>
  <si>
    <t>BORE</t>
  </si>
  <si>
    <t>CHONQUE</t>
  </si>
  <si>
    <t>YACON</t>
  </si>
  <si>
    <t>2019-2024</t>
  </si>
  <si>
    <t>Estevia</t>
  </si>
  <si>
    <t>Manzanilla</t>
  </si>
  <si>
    <t>Orégano</t>
  </si>
  <si>
    <t>Toronjil</t>
  </si>
  <si>
    <t>Otros cultivos tropicales tradicionales</t>
  </si>
  <si>
    <t>ESPARTO</t>
  </si>
  <si>
    <t>PALMA AMARGA</t>
  </si>
  <si>
    <t>ASPARRAGUS</t>
  </si>
  <si>
    <t>CORDELINE CINTA</t>
  </si>
  <si>
    <t>FITOSPORUM</t>
  </si>
  <si>
    <t>FLOR DE SAFARI</t>
  </si>
  <si>
    <t>TREE FERN</t>
  </si>
  <si>
    <t>AGUAJE</t>
  </si>
  <si>
    <t>ALGARROBO</t>
  </si>
  <si>
    <t>BACURI</t>
  </si>
  <si>
    <t>Carambolo</t>
  </si>
  <si>
    <t>Cidra, poncil</t>
  </si>
  <si>
    <t>COCONA</t>
  </si>
  <si>
    <t>Corozo</t>
  </si>
  <si>
    <t>COROZO</t>
  </si>
  <si>
    <t>MAMEY</t>
  </si>
  <si>
    <t>Pomarrosa</t>
  </si>
  <si>
    <t>POMARROSA</t>
  </si>
  <si>
    <t>RAMBUTAN</t>
  </si>
  <si>
    <t>Rambután</t>
  </si>
  <si>
    <t>Tangelo</t>
  </si>
  <si>
    <t>Toronja</t>
  </si>
  <si>
    <t>TORONJA</t>
  </si>
  <si>
    <t>UMARI</t>
  </si>
  <si>
    <t>ORELLANA</t>
  </si>
  <si>
    <t>Olivo</t>
  </si>
  <si>
    <t>Otras oleaginosas</t>
  </si>
  <si>
    <t>CANYARANA</t>
  </si>
  <si>
    <t>ENELDO</t>
  </si>
  <si>
    <t>FLOR DE JAMAICA</t>
  </si>
  <si>
    <t>HIERBABUENA</t>
  </si>
  <si>
    <t>OREGANO</t>
  </si>
  <si>
    <t>TANGARANA</t>
  </si>
  <si>
    <t>VAINILLA</t>
  </si>
  <si>
    <t>CENTENO</t>
  </si>
  <si>
    <t>Millo</t>
  </si>
  <si>
    <t>Alcachofa</t>
  </si>
  <si>
    <t>ALCACHOFA</t>
  </si>
  <si>
    <t>PUERRO</t>
  </si>
  <si>
    <t>LENTEJA</t>
  </si>
  <si>
    <t>ACHICORIA</t>
  </si>
  <si>
    <t>AMARANTO</t>
  </si>
  <si>
    <t>ANIS</t>
  </si>
  <si>
    <t>CALENDULA</t>
  </si>
  <si>
    <t>CHIA</t>
  </si>
  <si>
    <t>MANZANILLA</t>
  </si>
  <si>
    <t>POLEO</t>
  </si>
  <si>
    <t>Hibias, ocas</t>
  </si>
  <si>
    <t>Otras raíces y tubérculos</t>
  </si>
  <si>
    <t>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</si>
</sst>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6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 wrapText="1"/>
    </xf>
    <xf numFmtId="10" fontId="0" fillId="0" borderId="0" xfId="1" applyNumberFormat="1" applyFont="1" applyAlignment="1">
      <alignment vertical="center"/>
    </xf>
  </cellXfs>
  <cellStyles count="2">
    <cellStyle name="Normal" xfId="0" builtinId="0"/>
    <cellStyle name="Porcentaje" xfId="1" builtinId="5"/>
  </cellStyles>
  <dxfs count="2"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er Camilo Alfonso Rodriguez" id="{06C63AC6-07A8-4DE7-8639-DFAF50D9CFB7}" userId="S::jc.alfonso2004@uniandes.edu.co::60740638-d4d4-46a0-82fc-572aa4f9fdb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6-24T22:52:58.58" personId="{06C63AC6-07A8-4DE7-8639-DFAF50D9CFB7}" id="{5C0F211F-FCB1-4B7C-AB57-59E8376A5251}">
    <text>En los tres niveles, doy prioridad a la taxonomía del EVA más reciente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0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baseColWidth="10" defaultColWidth="9.140625" defaultRowHeight="15" x14ac:dyDescent="0.25"/>
  <cols>
    <col min="1" max="1" width="13.5703125" customWidth="1"/>
    <col min="2" max="2" width="20.28515625" customWidth="1"/>
    <col min="3" max="3" width="28" customWidth="1"/>
    <col min="4" max="4" width="15.7109375" style="3" customWidth="1"/>
    <col min="5" max="5" width="12.85546875" customWidth="1"/>
    <col min="6" max="6" width="13.5703125" customWidth="1"/>
    <col min="7" max="10" width="12.42578125" style="6" customWidth="1"/>
    <col min="11" max="11" width="21.42578125" style="6" customWidth="1"/>
    <col min="12" max="13" width="12.42578125" style="13" customWidth="1"/>
    <col min="14" max="14" width="11.85546875" style="6" bestFit="1" customWidth="1"/>
    <col min="15" max="15" width="13" style="6" customWidth="1"/>
    <col min="16" max="16" width="11.85546875" style="6" bestFit="1" customWidth="1"/>
    <col min="17" max="16384" width="9.140625" style="6"/>
  </cols>
  <sheetData>
    <row r="1" spans="1:14" s="5" customFormat="1" ht="7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370</v>
      </c>
      <c r="L1" s="12" t="s">
        <v>369</v>
      </c>
      <c r="M1" s="12" t="s">
        <v>371</v>
      </c>
    </row>
    <row r="2" spans="1:14" x14ac:dyDescent="0.25">
      <c r="A2" t="s">
        <v>10</v>
      </c>
      <c r="B2" t="s">
        <v>15</v>
      </c>
      <c r="C2" t="s">
        <v>36</v>
      </c>
      <c r="D2" s="3">
        <v>10940392.317550421</v>
      </c>
      <c r="E2" t="s">
        <v>375</v>
      </c>
      <c r="F2" t="s">
        <v>366</v>
      </c>
      <c r="G2" s="6" t="s">
        <v>11</v>
      </c>
      <c r="H2" s="6" t="s">
        <v>16</v>
      </c>
      <c r="I2" s="6" t="s">
        <v>37</v>
      </c>
      <c r="K2" s="6" t="b">
        <v>1</v>
      </c>
      <c r="L2" s="11">
        <f>SUMIFS($D$2:$D2,$E$2:$E2,"2007-2018",$K$2:$K2,TRUE)/auxiliar!$B$3</f>
        <v>0.18132786975919449</v>
      </c>
      <c r="M2" s="11">
        <f>SUMIFS($D$2:$D2,$E$2:$E2,"2019-2024",$K$2:$K2,TRUE)/auxiliar!$B$4</f>
        <v>0</v>
      </c>
    </row>
    <row r="3" spans="1:14" x14ac:dyDescent="0.25">
      <c r="A3" t="s">
        <v>13</v>
      </c>
      <c r="B3" t="s">
        <v>20</v>
      </c>
      <c r="C3" t="s">
        <v>42</v>
      </c>
      <c r="D3" s="3">
        <v>7606746.6863560779</v>
      </c>
      <c r="E3" t="s">
        <v>375</v>
      </c>
      <c r="F3" t="s">
        <v>366</v>
      </c>
      <c r="G3" s="6" t="s">
        <v>12</v>
      </c>
      <c r="H3" s="6" t="s">
        <v>18</v>
      </c>
      <c r="I3" s="6" t="s">
        <v>43</v>
      </c>
      <c r="K3" s="6" t="b">
        <v>1</v>
      </c>
      <c r="L3" s="11">
        <f>SUMIFS($D$2:$D3,$E$2:$E3,"2007-2018",$K$2:$K3,TRUE)/auxiliar!$B$3</f>
        <v>0.30740334606748754</v>
      </c>
      <c r="M3" s="11">
        <f>SUMIFS($D$2:$D3,$E$2:$E3,"2019-2024",$K$2:$K3,TRUE)/auxiliar!$B$4</f>
        <v>0</v>
      </c>
    </row>
    <row r="4" spans="1:14" x14ac:dyDescent="0.25">
      <c r="A4" t="s">
        <v>13</v>
      </c>
      <c r="B4" t="s">
        <v>20</v>
      </c>
      <c r="C4" t="s">
        <v>41</v>
      </c>
      <c r="D4" s="3">
        <v>6822922.9736306146</v>
      </c>
      <c r="E4" t="s">
        <v>375</v>
      </c>
      <c r="F4" t="s">
        <v>366</v>
      </c>
      <c r="G4" s="6" t="s">
        <v>12</v>
      </c>
      <c r="H4" s="6" t="s">
        <v>18</v>
      </c>
      <c r="I4" s="6" t="s">
        <v>39</v>
      </c>
      <c r="K4" s="6" t="b">
        <v>1</v>
      </c>
      <c r="L4" s="11">
        <f>SUMIFS($D$2:$D4,$E$2:$E4,"2007-2018",$K$2:$K4,TRUE)/auxiliar!$B$3</f>
        <v>0.42048759866369761</v>
      </c>
      <c r="M4" s="11">
        <f>SUMIFS($D$2:$D4,$E$2:$E4,"2019-2024",$K$2:$K4,TRUE)/auxiliar!$B$4</f>
        <v>0</v>
      </c>
    </row>
    <row r="5" spans="1:14" x14ac:dyDescent="0.25">
      <c r="A5" t="s">
        <v>10</v>
      </c>
      <c r="B5" t="s">
        <v>19</v>
      </c>
      <c r="C5" t="s">
        <v>40</v>
      </c>
      <c r="D5" s="3">
        <v>6055813.5396050466</v>
      </c>
      <c r="E5" t="s">
        <v>375</v>
      </c>
      <c r="F5" t="s">
        <v>366</v>
      </c>
      <c r="G5" s="6" t="s">
        <v>11</v>
      </c>
      <c r="H5" s="6" t="s">
        <v>17</v>
      </c>
      <c r="I5" s="6" t="s">
        <v>38</v>
      </c>
      <c r="K5" s="6" t="b">
        <v>1</v>
      </c>
      <c r="L5" s="11">
        <f>SUMIFS($D$2:$D5,$E$2:$E5,"2007-2018",$K$2:$K5,TRUE)/auxiliar!$B$3</f>
        <v>0.52085765276440232</v>
      </c>
      <c r="M5" s="11">
        <f>SUMIFS($D$2:$D5,$E$2:$E5,"2019-2024",$K$2:$K5,TRUE)/auxiliar!$B$4</f>
        <v>0</v>
      </c>
    </row>
    <row r="6" spans="1:14" x14ac:dyDescent="0.25">
      <c r="A6" t="s">
        <v>10</v>
      </c>
      <c r="B6" t="s">
        <v>22</v>
      </c>
      <c r="C6" t="s">
        <v>46</v>
      </c>
      <c r="D6" s="3">
        <v>5252053.5224307701</v>
      </c>
      <c r="E6" t="s">
        <v>375</v>
      </c>
      <c r="F6" t="s">
        <v>366</v>
      </c>
      <c r="G6" s="6" t="s">
        <v>11</v>
      </c>
      <c r="H6" s="6" t="s">
        <v>21</v>
      </c>
      <c r="I6" s="6" t="s">
        <v>45</v>
      </c>
      <c r="K6" s="6" t="b">
        <v>1</v>
      </c>
      <c r="L6" s="11">
        <f>SUMIFS($D$2:$D6,$E$2:$E6,"2007-2018",$K$2:$K6,TRUE)/auxiliar!$B$3</f>
        <v>0.6079060555493655</v>
      </c>
      <c r="M6" s="11">
        <f>SUMIFS($D$2:$D6,$E$2:$E6,"2019-2024",$K$2:$K6,TRUE)/auxiliar!$B$4</f>
        <v>0</v>
      </c>
      <c r="N6" s="8"/>
    </row>
    <row r="7" spans="1:14" x14ac:dyDescent="0.25">
      <c r="A7" t="s">
        <v>10</v>
      </c>
      <c r="B7" t="s">
        <v>15</v>
      </c>
      <c r="C7" t="s">
        <v>48</v>
      </c>
      <c r="D7" s="3">
        <v>2837352.4949331521</v>
      </c>
      <c r="E7" t="s">
        <v>375</v>
      </c>
      <c r="F7" t="s">
        <v>366</v>
      </c>
      <c r="G7" s="6" t="s">
        <v>11</v>
      </c>
      <c r="H7" s="6" t="s">
        <v>16</v>
      </c>
      <c r="I7" s="6" t="s">
        <v>44</v>
      </c>
      <c r="J7" s="6" t="s">
        <v>374</v>
      </c>
      <c r="K7" s="6" t="b">
        <v>1</v>
      </c>
      <c r="L7" s="11">
        <f>SUMIFS($D$2:$D7,$E$2:$E7,"2007-2018",$K$2:$K7,TRUE)/auxiliar!$B$3</f>
        <v>0.65493280456611003</v>
      </c>
      <c r="M7" s="11">
        <f>SUMIFS($D$2:$D7,$E$2:$E7,"2019-2024",$K$2:$K7,TRUE)/auxiliar!$B$4</f>
        <v>0</v>
      </c>
    </row>
    <row r="8" spans="1:14" x14ac:dyDescent="0.25">
      <c r="A8" t="s">
        <v>10</v>
      </c>
      <c r="B8" t="s">
        <v>15</v>
      </c>
      <c r="C8" t="s">
        <v>47</v>
      </c>
      <c r="D8" s="3">
        <v>2778985.6959124799</v>
      </c>
      <c r="E8" t="s">
        <v>375</v>
      </c>
      <c r="F8" t="s">
        <v>366</v>
      </c>
      <c r="G8" s="6" t="s">
        <v>11</v>
      </c>
      <c r="H8" s="6" t="s">
        <v>16</v>
      </c>
      <c r="I8" s="6" t="s">
        <v>44</v>
      </c>
      <c r="J8" s="6" t="s">
        <v>374</v>
      </c>
      <c r="K8" s="6" t="b">
        <v>1</v>
      </c>
      <c r="L8" s="11">
        <f>SUMIFS($D$2:$D8,$E$2:$E8,"2007-2018",$K$2:$K8,TRUE)/auxiliar!$B$3</f>
        <v>0.70099217261296898</v>
      </c>
      <c r="M8" s="11">
        <f>SUMIFS($D$2:$D8,$E$2:$E8,"2019-2024",$K$2:$K8,TRUE)/auxiliar!$B$4</f>
        <v>0</v>
      </c>
    </row>
    <row r="9" spans="1:14" x14ac:dyDescent="0.25">
      <c r="A9" t="s">
        <v>14</v>
      </c>
      <c r="B9" t="s">
        <v>22</v>
      </c>
      <c r="C9" t="s">
        <v>52</v>
      </c>
      <c r="D9" s="3">
        <v>2583844.1457702639</v>
      </c>
      <c r="E9" t="s">
        <v>375</v>
      </c>
      <c r="F9" t="s">
        <v>366</v>
      </c>
      <c r="G9" s="6" t="s">
        <v>12</v>
      </c>
      <c r="H9" s="6" t="s">
        <v>23</v>
      </c>
      <c r="I9" s="6" t="s">
        <v>51</v>
      </c>
      <c r="K9" s="6" t="b">
        <v>1</v>
      </c>
      <c r="L9" s="11">
        <f>SUMIFS($D$2:$D9,$E$2:$E9,"2007-2018",$K$2:$K9,TRUE)/auxiliar!$B$3</f>
        <v>0.74381723236797337</v>
      </c>
      <c r="M9" s="11">
        <f>SUMIFS($D$2:$D9,$E$2:$E9,"2019-2024",$K$2:$K9,TRUE)/auxiliar!$B$4</f>
        <v>0</v>
      </c>
    </row>
    <row r="10" spans="1:14" x14ac:dyDescent="0.25">
      <c r="A10" t="s">
        <v>10</v>
      </c>
      <c r="B10" t="s">
        <v>15</v>
      </c>
      <c r="C10" t="s">
        <v>50</v>
      </c>
      <c r="D10" s="3">
        <v>2263985.415144417</v>
      </c>
      <c r="E10" t="s">
        <v>375</v>
      </c>
      <c r="F10" t="s">
        <v>366</v>
      </c>
      <c r="G10" s="6" t="s">
        <v>11</v>
      </c>
      <c r="H10" s="6" t="s">
        <v>16</v>
      </c>
      <c r="I10" s="6" t="s">
        <v>49</v>
      </c>
      <c r="K10" s="6" t="b">
        <v>1</v>
      </c>
      <c r="L10" s="11">
        <f>SUMIFS($D$2:$D10,$E$2:$E10,"2007-2018",$K$2:$K10,TRUE)/auxiliar!$B$3</f>
        <v>0.78134090067696682</v>
      </c>
      <c r="M10" s="11">
        <f>SUMIFS($D$2:$D10,$E$2:$E10,"2019-2024",$K$2:$K10,TRUE)/auxiliar!$B$4</f>
        <v>0</v>
      </c>
    </row>
    <row r="11" spans="1:14" x14ac:dyDescent="0.25">
      <c r="A11" t="s">
        <v>13</v>
      </c>
      <c r="B11" t="s">
        <v>22</v>
      </c>
      <c r="C11" t="s">
        <v>54</v>
      </c>
      <c r="D11" s="3">
        <v>2179556.230331704</v>
      </c>
      <c r="E11" t="s">
        <v>375</v>
      </c>
      <c r="F11" t="s">
        <v>366</v>
      </c>
      <c r="G11" s="6" t="s">
        <v>12</v>
      </c>
      <c r="H11" s="6" t="s">
        <v>23</v>
      </c>
      <c r="I11" s="6" t="s">
        <v>53</v>
      </c>
      <c r="K11" s="6" t="b">
        <v>1</v>
      </c>
      <c r="L11" s="11">
        <f>SUMIFS($D$2:$D11,$E$2:$E11,"2007-2018",$K$2:$K11,TRUE)/auxiliar!$B$3</f>
        <v>0.81746522572812896</v>
      </c>
      <c r="M11" s="11">
        <f>SUMIFS($D$2:$D11,$E$2:$E11,"2019-2024",$K$2:$K11,TRUE)/auxiliar!$B$4</f>
        <v>0</v>
      </c>
    </row>
    <row r="12" spans="1:14" x14ac:dyDescent="0.25">
      <c r="A12" t="s">
        <v>13</v>
      </c>
      <c r="B12" t="s">
        <v>25</v>
      </c>
      <c r="C12" t="s">
        <v>56</v>
      </c>
      <c r="D12" s="3">
        <v>1602215.817041805</v>
      </c>
      <c r="E12" t="s">
        <v>375</v>
      </c>
      <c r="F12" t="s">
        <v>366</v>
      </c>
      <c r="G12" s="6" t="s">
        <v>12</v>
      </c>
      <c r="H12" s="6" t="s">
        <v>24</v>
      </c>
      <c r="I12" s="6" t="s">
        <v>55</v>
      </c>
      <c r="K12" s="6" t="b">
        <v>1</v>
      </c>
      <c r="L12" s="11">
        <f>SUMIFS($D$2:$D12,$E$2:$E12,"2007-2018",$K$2:$K12,TRUE)/auxiliar!$B$3</f>
        <v>0.84402061538564788</v>
      </c>
      <c r="M12" s="11">
        <f>SUMIFS($D$2:$D12,$E$2:$E12,"2019-2024",$K$2:$K12,TRUE)/auxiliar!$B$4</f>
        <v>0</v>
      </c>
    </row>
    <row r="13" spans="1:14" x14ac:dyDescent="0.25">
      <c r="A13" t="s">
        <v>10</v>
      </c>
      <c r="B13" t="s">
        <v>26</v>
      </c>
      <c r="C13" t="s">
        <v>59</v>
      </c>
      <c r="D13" s="3">
        <v>966623.325058355</v>
      </c>
      <c r="E13" t="s">
        <v>375</v>
      </c>
      <c r="F13" t="s">
        <v>366</v>
      </c>
      <c r="G13" s="6" t="s">
        <v>11</v>
      </c>
      <c r="H13" s="6" t="s">
        <v>21</v>
      </c>
      <c r="I13" s="6" t="s">
        <v>57</v>
      </c>
      <c r="K13" s="6" t="b">
        <v>1</v>
      </c>
      <c r="L13" s="11">
        <f>SUMIFS($D$2:$D13,$E$2:$E13,"2007-2018",$K$2:$K13,TRUE)/auxiliar!$B$3</f>
        <v>0.86004159007329284</v>
      </c>
      <c r="M13" s="11">
        <f>SUMIFS($D$2:$D13,$E$2:$E13,"2019-2024",$K$2:$K13,TRUE)/auxiliar!$B$4</f>
        <v>0</v>
      </c>
    </row>
    <row r="14" spans="1:14" x14ac:dyDescent="0.25">
      <c r="A14" t="s">
        <v>10</v>
      </c>
      <c r="B14" t="s">
        <v>27</v>
      </c>
      <c r="C14" t="s">
        <v>61</v>
      </c>
      <c r="D14" s="3">
        <v>559378.81999999995</v>
      </c>
      <c r="E14" t="s">
        <v>375</v>
      </c>
      <c r="F14" t="s">
        <v>366</v>
      </c>
      <c r="J14" s="10" t="s">
        <v>368</v>
      </c>
      <c r="K14" s="6" t="b">
        <v>0</v>
      </c>
      <c r="L14" s="11">
        <f>SUMIFS($D$2:$D14,$E$2:$E14,"2007-2018",$K$2:$K14,TRUE)/auxiliar!$B$3</f>
        <v>0.86004159007329284</v>
      </c>
      <c r="M14" s="11">
        <f>SUMIFS($D$2:$D14,$E$2:$E14,"2019-2024",$K$2:$K14,TRUE)/auxiliar!$B$4</f>
        <v>0</v>
      </c>
    </row>
    <row r="15" spans="1:14" x14ac:dyDescent="0.25">
      <c r="A15" t="s">
        <v>10</v>
      </c>
      <c r="B15" t="s">
        <v>26</v>
      </c>
      <c r="C15" t="s">
        <v>60</v>
      </c>
      <c r="D15" s="3">
        <v>547688.53580847941</v>
      </c>
      <c r="E15" t="s">
        <v>375</v>
      </c>
      <c r="F15" t="s">
        <v>366</v>
      </c>
      <c r="G15" s="6" t="s">
        <v>11</v>
      </c>
      <c r="H15" s="6" t="s">
        <v>21</v>
      </c>
      <c r="I15" s="6" t="s">
        <v>58</v>
      </c>
      <c r="K15" s="6" t="b">
        <v>1</v>
      </c>
      <c r="L15" s="11">
        <f>SUMIFS($D$2:$D15,$E$2:$E15,"2007-2018",$K$2:$K15,TRUE)/auxiliar!$B$3</f>
        <v>0.86911907035070224</v>
      </c>
      <c r="M15" s="11">
        <f>SUMIFS($D$2:$D15,$E$2:$E15,"2019-2024",$K$2:$K15,TRUE)/auxiliar!$B$4</f>
        <v>0</v>
      </c>
    </row>
    <row r="16" spans="1:14" x14ac:dyDescent="0.25">
      <c r="A16" t="s">
        <v>13</v>
      </c>
      <c r="B16" t="s">
        <v>25</v>
      </c>
      <c r="C16" t="s">
        <v>62</v>
      </c>
      <c r="D16" s="3">
        <v>488453.23387352109</v>
      </c>
      <c r="E16" t="s">
        <v>375</v>
      </c>
      <c r="F16" t="s">
        <v>366</v>
      </c>
      <c r="G16" s="6" t="s">
        <v>12</v>
      </c>
      <c r="H16" s="6" t="s">
        <v>17</v>
      </c>
      <c r="I16" s="6" t="s">
        <v>63</v>
      </c>
      <c r="K16" s="6" t="b">
        <v>1</v>
      </c>
      <c r="L16" s="11">
        <f>SUMIFS($D$2:$D16,$E$2:$E16,"2007-2018",$K$2:$K16,TRUE)/auxiliar!$B$3</f>
        <v>0.87721477494743705</v>
      </c>
      <c r="M16" s="11">
        <f>SUMIFS($D$2:$D16,$E$2:$E16,"2019-2024",$K$2:$K16,TRUE)/auxiliar!$B$4</f>
        <v>0</v>
      </c>
    </row>
    <row r="17" spans="1:13" x14ac:dyDescent="0.25">
      <c r="A17" t="s">
        <v>10</v>
      </c>
      <c r="B17" t="s">
        <v>26</v>
      </c>
      <c r="C17" t="s">
        <v>65</v>
      </c>
      <c r="D17" s="3">
        <v>476095.91957813641</v>
      </c>
      <c r="E17" t="s">
        <v>375</v>
      </c>
      <c r="F17" t="s">
        <v>366</v>
      </c>
      <c r="G17" s="6" t="s">
        <v>11</v>
      </c>
      <c r="H17" s="6" t="s">
        <v>21</v>
      </c>
      <c r="I17" s="6" t="s">
        <v>64</v>
      </c>
      <c r="K17" s="6" t="b">
        <v>1</v>
      </c>
      <c r="L17" s="11">
        <f>SUMIFS($D$2:$D17,$E$2:$E17,"2007-2018",$K$2:$K17,TRUE)/auxiliar!$B$3</f>
        <v>0.88510566737545904</v>
      </c>
      <c r="M17" s="11">
        <f>SUMIFS($D$2:$D17,$E$2:$E17,"2019-2024",$K$2:$K17,TRUE)/auxiliar!$B$4</f>
        <v>0</v>
      </c>
    </row>
    <row r="18" spans="1:13" x14ac:dyDescent="0.25">
      <c r="A18" t="s">
        <v>14</v>
      </c>
      <c r="B18" t="s">
        <v>22</v>
      </c>
      <c r="C18" t="s">
        <v>69</v>
      </c>
      <c r="D18" s="3">
        <v>433858.979635</v>
      </c>
      <c r="E18" t="s">
        <v>375</v>
      </c>
      <c r="F18" t="s">
        <v>366</v>
      </c>
      <c r="G18" s="6" t="s">
        <v>12</v>
      </c>
      <c r="H18" s="6" t="s">
        <v>23</v>
      </c>
      <c r="I18" s="6" t="s">
        <v>68</v>
      </c>
      <c r="K18" s="6" t="b">
        <v>1</v>
      </c>
      <c r="L18" s="11">
        <f>SUMIFS($D$2:$D18,$E$2:$E18,"2007-2018",$K$2:$K18,TRUE)/auxiliar!$B$3</f>
        <v>0.89229651778279861</v>
      </c>
      <c r="M18" s="11">
        <f>SUMIFS($D$2:$D18,$E$2:$E18,"2019-2024",$K$2:$K18,TRUE)/auxiliar!$B$4</f>
        <v>0</v>
      </c>
    </row>
    <row r="19" spans="1:13" x14ac:dyDescent="0.25">
      <c r="A19" t="s">
        <v>13</v>
      </c>
      <c r="B19" t="s">
        <v>30</v>
      </c>
      <c r="C19" t="s">
        <v>85</v>
      </c>
      <c r="D19" s="3">
        <v>408854.09453725151</v>
      </c>
      <c r="E19" t="s">
        <v>375</v>
      </c>
      <c r="F19" t="s">
        <v>366</v>
      </c>
      <c r="G19" s="6" t="s">
        <v>12</v>
      </c>
      <c r="H19" s="6" t="s">
        <v>16</v>
      </c>
      <c r="I19" s="6" t="s">
        <v>89</v>
      </c>
      <c r="K19" s="6" t="b">
        <v>1</v>
      </c>
      <c r="L19" s="11">
        <f>SUMIFS($D$2:$D19,$E$2:$E19,"2007-2018",$K$2:$K19,TRUE)/auxiliar!$B$3</f>
        <v>0.89907293309341174</v>
      </c>
      <c r="M19" s="11">
        <f>SUMIFS($D$2:$D19,$E$2:$E19,"2019-2024",$K$2:$K19,TRUE)/auxiliar!$B$4</f>
        <v>0</v>
      </c>
    </row>
    <row r="20" spans="1:13" x14ac:dyDescent="0.25">
      <c r="A20" t="s">
        <v>13</v>
      </c>
      <c r="B20" t="s">
        <v>25</v>
      </c>
      <c r="C20" t="s">
        <v>72</v>
      </c>
      <c r="D20" s="3">
        <v>379713.28600000002</v>
      </c>
      <c r="E20" t="s">
        <v>375</v>
      </c>
      <c r="F20" t="s">
        <v>366</v>
      </c>
      <c r="G20" s="6" t="s">
        <v>12</v>
      </c>
      <c r="H20" s="6" t="s">
        <v>24</v>
      </c>
      <c r="I20" s="6" t="s">
        <v>70</v>
      </c>
      <c r="K20" s="6" t="b">
        <v>1</v>
      </c>
      <c r="L20" s="11">
        <f>SUMIFS($D$2:$D20,$E$2:$E20,"2007-2018",$K$2:$K20,TRUE)/auxiliar!$B$3</f>
        <v>0.90536636382890667</v>
      </c>
      <c r="M20" s="11">
        <f>SUMIFS($D$2:$D20,$E$2:$E20,"2019-2024",$K$2:$K20,TRUE)/auxiliar!$B$4</f>
        <v>0</v>
      </c>
    </row>
    <row r="21" spans="1:13" x14ac:dyDescent="0.25">
      <c r="A21" t="s">
        <v>10</v>
      </c>
      <c r="B21" t="s">
        <v>26</v>
      </c>
      <c r="C21" t="s">
        <v>71</v>
      </c>
      <c r="D21" s="3">
        <v>333890.9593701532</v>
      </c>
      <c r="E21" t="s">
        <v>375</v>
      </c>
      <c r="F21" t="s">
        <v>366</v>
      </c>
      <c r="G21" s="6" t="s">
        <v>11</v>
      </c>
      <c r="H21" s="6" t="s">
        <v>21</v>
      </c>
      <c r="I21" s="6" t="s">
        <v>66</v>
      </c>
      <c r="K21" s="6" t="b">
        <v>1</v>
      </c>
      <c r="L21" s="11">
        <f>SUMIFS($D$2:$D21,$E$2:$E21,"2007-2018",$K$2:$K21,TRUE)/auxiliar!$B$3</f>
        <v>0.91090032775242336</v>
      </c>
      <c r="M21" s="11">
        <f>SUMIFS($D$2:$D21,$E$2:$E21,"2019-2024",$K$2:$K21,TRUE)/auxiliar!$B$4</f>
        <v>0</v>
      </c>
    </row>
    <row r="22" spans="1:13" x14ac:dyDescent="0.25">
      <c r="A22" t="s">
        <v>10</v>
      </c>
      <c r="B22" t="s">
        <v>26</v>
      </c>
      <c r="C22" t="s">
        <v>67</v>
      </c>
      <c r="D22" s="3">
        <v>256438.64942595159</v>
      </c>
      <c r="E22" t="s">
        <v>375</v>
      </c>
      <c r="F22" t="s">
        <v>366</v>
      </c>
      <c r="G22" s="6" t="s">
        <v>11</v>
      </c>
      <c r="H22" s="6" t="s">
        <v>21</v>
      </c>
      <c r="I22" s="6" t="s">
        <v>73</v>
      </c>
      <c r="K22" s="6" t="b">
        <v>1</v>
      </c>
      <c r="L22" s="11">
        <f>SUMIFS($D$2:$D22,$E$2:$E22,"2007-2018",$K$2:$K22,TRUE)/auxiliar!$B$3</f>
        <v>0.91515058429484542</v>
      </c>
      <c r="M22" s="11">
        <f>SUMIFS($D$2:$D22,$E$2:$E22,"2019-2024",$K$2:$K22,TRUE)/auxiliar!$B$4</f>
        <v>0</v>
      </c>
    </row>
    <row r="23" spans="1:13" x14ac:dyDescent="0.25">
      <c r="A23" t="s">
        <v>10</v>
      </c>
      <c r="B23" t="s">
        <v>26</v>
      </c>
      <c r="C23" t="s">
        <v>75</v>
      </c>
      <c r="D23" s="3">
        <v>235595.24452101809</v>
      </c>
      <c r="E23" t="s">
        <v>375</v>
      </c>
      <c r="F23" t="s">
        <v>366</v>
      </c>
      <c r="G23" s="6" t="s">
        <v>11</v>
      </c>
      <c r="H23" s="6" t="s">
        <v>21</v>
      </c>
      <c r="I23" s="6" t="s">
        <v>77</v>
      </c>
      <c r="K23" s="6" t="b">
        <v>1</v>
      </c>
      <c r="L23" s="11">
        <f>SUMIFS($D$2:$D23,$E$2:$E23,"2007-2018",$K$2:$K23,TRUE)/auxiliar!$B$3</f>
        <v>0.91905537880078481</v>
      </c>
      <c r="M23" s="11">
        <f>SUMIFS($D$2:$D23,$E$2:$E23,"2019-2024",$K$2:$K23,TRUE)/auxiliar!$B$4</f>
        <v>0</v>
      </c>
    </row>
    <row r="24" spans="1:13" x14ac:dyDescent="0.25">
      <c r="A24" t="s">
        <v>10</v>
      </c>
      <c r="B24" t="s">
        <v>26</v>
      </c>
      <c r="C24" t="s">
        <v>76</v>
      </c>
      <c r="D24" s="3">
        <v>235018.394303087</v>
      </c>
      <c r="E24" t="s">
        <v>375</v>
      </c>
      <c r="F24" t="s">
        <v>366</v>
      </c>
      <c r="G24" s="6" t="s">
        <v>11</v>
      </c>
      <c r="H24" s="6" t="s">
        <v>21</v>
      </c>
      <c r="I24" s="6" t="s">
        <v>74</v>
      </c>
      <c r="K24" s="6" t="b">
        <v>1</v>
      </c>
      <c r="L24" s="11">
        <f>SUMIFS($D$2:$D24,$E$2:$E24,"2007-2018",$K$2:$K24,TRUE)/auxiliar!$B$3</f>
        <v>0.92295061249590937</v>
      </c>
      <c r="M24" s="11">
        <f>SUMIFS($D$2:$D24,$E$2:$E24,"2019-2024",$K$2:$K24,TRUE)/auxiliar!$B$4</f>
        <v>0</v>
      </c>
    </row>
    <row r="25" spans="1:13" x14ac:dyDescent="0.25">
      <c r="A25" t="s">
        <v>10</v>
      </c>
      <c r="B25" t="s">
        <v>30</v>
      </c>
      <c r="C25" t="s">
        <v>87</v>
      </c>
      <c r="D25" s="3">
        <v>225195.98</v>
      </c>
      <c r="E25" t="s">
        <v>375</v>
      </c>
      <c r="F25" t="s">
        <v>366</v>
      </c>
      <c r="G25" s="6" t="s">
        <v>11</v>
      </c>
      <c r="H25" s="6" t="s">
        <v>16</v>
      </c>
      <c r="I25" s="6" t="s">
        <v>83</v>
      </c>
      <c r="K25" s="6" t="b">
        <v>1</v>
      </c>
      <c r="L25" s="11">
        <f>SUMIFS($D$2:$D25,$E$2:$E25,"2007-2018",$K$2:$K25,TRUE)/auxiliar!$B$3</f>
        <v>0.92668304787359024</v>
      </c>
      <c r="M25" s="11">
        <f>SUMIFS($D$2:$D25,$E$2:$E25,"2019-2024",$K$2:$K25,TRUE)/auxiliar!$B$4</f>
        <v>0</v>
      </c>
    </row>
    <row r="26" spans="1:13" x14ac:dyDescent="0.25">
      <c r="A26" t="s">
        <v>13</v>
      </c>
      <c r="B26" t="s">
        <v>29</v>
      </c>
      <c r="C26" t="s">
        <v>81</v>
      </c>
      <c r="D26" s="3">
        <v>212164.98050755329</v>
      </c>
      <c r="E26" t="s">
        <v>375</v>
      </c>
      <c r="F26" t="s">
        <v>366</v>
      </c>
      <c r="G26" s="6" t="s">
        <v>12</v>
      </c>
      <c r="H26" s="6" t="s">
        <v>28</v>
      </c>
      <c r="I26" s="6" t="s">
        <v>79</v>
      </c>
      <c r="K26" s="6" t="b">
        <v>1</v>
      </c>
      <c r="L26" s="11">
        <f>SUMIFS($D$2:$D26,$E$2:$E26,"2007-2018",$K$2:$K26,TRUE)/auxiliar!$B$3</f>
        <v>0.93019950531280116</v>
      </c>
      <c r="M26" s="11">
        <f>SUMIFS($D$2:$D26,$E$2:$E26,"2019-2024",$K$2:$K26,TRUE)/auxiliar!$B$4</f>
        <v>0</v>
      </c>
    </row>
    <row r="27" spans="1:13" x14ac:dyDescent="0.25">
      <c r="A27" t="s">
        <v>10</v>
      </c>
      <c r="B27" t="s">
        <v>26</v>
      </c>
      <c r="C27" t="s">
        <v>94</v>
      </c>
      <c r="D27" s="3">
        <v>182156.55072836619</v>
      </c>
      <c r="E27" t="s">
        <v>375</v>
      </c>
      <c r="F27" t="s">
        <v>366</v>
      </c>
      <c r="G27" s="6" t="s">
        <v>11</v>
      </c>
      <c r="H27" s="6" t="s">
        <v>21</v>
      </c>
      <c r="I27" s="6" t="s">
        <v>92</v>
      </c>
      <c r="K27" s="6" t="b">
        <v>1</v>
      </c>
      <c r="L27" s="11">
        <f>SUMIFS($D$2:$D27,$E$2:$E27,"2007-2018",$K$2:$K27,TRUE)/auxiliar!$B$3</f>
        <v>0.93321859807908802</v>
      </c>
      <c r="M27" s="11">
        <f>SUMIFS($D$2:$D27,$E$2:$E27,"2019-2024",$K$2:$K27,TRUE)/auxiliar!$B$4</f>
        <v>0</v>
      </c>
    </row>
    <row r="28" spans="1:13" x14ac:dyDescent="0.25">
      <c r="A28" t="s">
        <v>10</v>
      </c>
      <c r="B28" t="s">
        <v>26</v>
      </c>
      <c r="C28" t="s">
        <v>84</v>
      </c>
      <c r="D28" s="3">
        <v>169883.7461666422</v>
      </c>
      <c r="E28" t="s">
        <v>375</v>
      </c>
      <c r="F28" t="s">
        <v>366</v>
      </c>
      <c r="G28" s="6" t="s">
        <v>11</v>
      </c>
      <c r="H28" s="6" t="s">
        <v>21</v>
      </c>
      <c r="I28" s="6" t="s">
        <v>82</v>
      </c>
      <c r="K28" s="6" t="b">
        <v>1</v>
      </c>
      <c r="L28" s="11">
        <f>SUMIFS($D$2:$D28,$E$2:$E28,"2007-2018",$K$2:$K28,TRUE)/auxiliar!$B$3</f>
        <v>0.93603427935494976</v>
      </c>
      <c r="M28" s="11">
        <f>SUMIFS($D$2:$D28,$E$2:$E28,"2019-2024",$K$2:$K28,TRUE)/auxiliar!$B$4</f>
        <v>0</v>
      </c>
    </row>
    <row r="29" spans="1:13" x14ac:dyDescent="0.25">
      <c r="A29" t="s">
        <v>13</v>
      </c>
      <c r="B29" t="s">
        <v>20</v>
      </c>
      <c r="C29" t="s">
        <v>158</v>
      </c>
      <c r="D29" s="3">
        <v>166697.77499999999</v>
      </c>
      <c r="E29" t="s">
        <v>375</v>
      </c>
      <c r="F29" t="s">
        <v>366</v>
      </c>
      <c r="G29" s="6" t="s">
        <v>12</v>
      </c>
      <c r="H29" s="6" t="s">
        <v>18</v>
      </c>
      <c r="I29" s="6" t="s">
        <v>156</v>
      </c>
      <c r="K29" s="6" t="b">
        <v>1</v>
      </c>
      <c r="L29" s="11">
        <f>SUMIFS($D$2:$D29,$E$2:$E29,"2007-2018",$K$2:$K29,TRUE)/auxiliar!$B$3</f>
        <v>0.93879715581833378</v>
      </c>
      <c r="M29" s="11">
        <f>SUMIFS($D$2:$D29,$E$2:$E29,"2019-2024",$K$2:$K29,TRUE)/auxiliar!$B$4</f>
        <v>0</v>
      </c>
    </row>
    <row r="30" spans="1:13" x14ac:dyDescent="0.25">
      <c r="A30" t="s">
        <v>13</v>
      </c>
      <c r="B30" t="s">
        <v>29</v>
      </c>
      <c r="C30" t="s">
        <v>90</v>
      </c>
      <c r="D30" s="3">
        <v>161184.80761781789</v>
      </c>
      <c r="E30" t="s">
        <v>375</v>
      </c>
      <c r="F30" t="s">
        <v>366</v>
      </c>
      <c r="G30" s="6" t="s">
        <v>12</v>
      </c>
      <c r="H30" s="6" t="s">
        <v>28</v>
      </c>
      <c r="I30" s="6" t="s">
        <v>88</v>
      </c>
      <c r="K30" s="6" t="b">
        <v>1</v>
      </c>
      <c r="L30" s="11">
        <f>SUMIFS($D$2:$D30,$E$2:$E30,"2007-2018",$K$2:$K30,TRUE)/auxiliar!$B$3</f>
        <v>0.94146865944951519</v>
      </c>
      <c r="M30" s="11">
        <f>SUMIFS($D$2:$D30,$E$2:$E30,"2019-2024",$K$2:$K30,TRUE)/auxiliar!$B$4</f>
        <v>0</v>
      </c>
    </row>
    <row r="31" spans="1:13" x14ac:dyDescent="0.25">
      <c r="A31" t="s">
        <v>10</v>
      </c>
      <c r="B31" t="s">
        <v>26</v>
      </c>
      <c r="C31" t="s">
        <v>98</v>
      </c>
      <c r="D31" s="3">
        <v>129846.1913958425</v>
      </c>
      <c r="E31" t="s">
        <v>375</v>
      </c>
      <c r="F31" t="s">
        <v>366</v>
      </c>
      <c r="G31" s="6" t="s">
        <v>11</v>
      </c>
      <c r="H31" s="6" t="s">
        <v>21</v>
      </c>
      <c r="I31" s="6" t="s">
        <v>96</v>
      </c>
      <c r="K31" s="6" t="b">
        <v>1</v>
      </c>
      <c r="L31" s="11">
        <f>SUMIFS($D$2:$D31,$E$2:$E31,"2007-2018",$K$2:$K31,TRUE)/auxiliar!$B$3</f>
        <v>0.94362075167790649</v>
      </c>
      <c r="M31" s="11">
        <f>SUMIFS($D$2:$D31,$E$2:$E31,"2019-2024",$K$2:$K31,TRUE)/auxiliar!$B$4</f>
        <v>0</v>
      </c>
    </row>
    <row r="32" spans="1:13" x14ac:dyDescent="0.25">
      <c r="A32" t="s">
        <v>10</v>
      </c>
      <c r="B32" t="s">
        <v>26</v>
      </c>
      <c r="C32" t="s">
        <v>104</v>
      </c>
      <c r="D32" s="3">
        <v>128306.60170449009</v>
      </c>
      <c r="E32" t="s">
        <v>375</v>
      </c>
      <c r="F32" t="s">
        <v>366</v>
      </c>
      <c r="G32" s="6" t="s">
        <v>11</v>
      </c>
      <c r="H32" s="6" t="s">
        <v>21</v>
      </c>
      <c r="I32" s="6" t="s">
        <v>100</v>
      </c>
      <c r="K32" s="6" t="b">
        <v>1</v>
      </c>
      <c r="L32" s="11">
        <f>SUMIFS($D$2:$D32,$E$2:$E32,"2007-2018",$K$2:$K32,TRUE)/auxiliar!$B$3</f>
        <v>0.94574732649239424</v>
      </c>
      <c r="M32" s="11">
        <f>SUMIFS($D$2:$D32,$E$2:$E32,"2019-2024",$K$2:$K32,TRUE)/auxiliar!$B$4</f>
        <v>0</v>
      </c>
    </row>
    <row r="33" spans="1:13" x14ac:dyDescent="0.25">
      <c r="A33" t="s">
        <v>13</v>
      </c>
      <c r="B33" t="s">
        <v>26</v>
      </c>
      <c r="C33" t="s">
        <v>97</v>
      </c>
      <c r="D33" s="3">
        <v>125655.7371471713</v>
      </c>
      <c r="E33" t="s">
        <v>375</v>
      </c>
      <c r="F33" t="s">
        <v>366</v>
      </c>
      <c r="G33" s="6" t="s">
        <v>12</v>
      </c>
      <c r="H33" s="6" t="s">
        <v>28</v>
      </c>
      <c r="I33" s="6" t="s">
        <v>86</v>
      </c>
      <c r="K33" s="6" t="b">
        <v>1</v>
      </c>
      <c r="L33" s="11">
        <f>SUMIFS($D$2:$D33,$E$2:$E33,"2007-2018",$K$2:$K33,TRUE)/auxiliar!$B$3</f>
        <v>0.94782996543975329</v>
      </c>
      <c r="M33" s="11">
        <f>SUMIFS($D$2:$D33,$E$2:$E33,"2019-2024",$K$2:$K33,TRUE)/auxiliar!$B$4</f>
        <v>0</v>
      </c>
    </row>
    <row r="34" spans="1:13" x14ac:dyDescent="0.25">
      <c r="A34" t="s">
        <v>13</v>
      </c>
      <c r="B34" t="s">
        <v>29</v>
      </c>
      <c r="C34" t="s">
        <v>99</v>
      </c>
      <c r="D34" s="3">
        <v>123319.7567370546</v>
      </c>
      <c r="E34" t="s">
        <v>375</v>
      </c>
      <c r="F34" t="s">
        <v>366</v>
      </c>
      <c r="G34" s="6" t="s">
        <v>12</v>
      </c>
      <c r="H34" s="6" t="s">
        <v>28</v>
      </c>
      <c r="I34" s="6" t="s">
        <v>103</v>
      </c>
      <c r="K34" s="6" t="b">
        <v>1</v>
      </c>
      <c r="L34" s="11">
        <f>SUMIFS($D$2:$D34,$E$2:$E34,"2007-2018",$K$2:$K34,TRUE)/auxiliar!$B$3</f>
        <v>0.94987388746186219</v>
      </c>
      <c r="M34" s="11">
        <f>SUMIFS($D$2:$D34,$E$2:$E34,"2019-2024",$K$2:$K34,TRUE)/auxiliar!$B$4</f>
        <v>0</v>
      </c>
    </row>
    <row r="35" spans="1:13" x14ac:dyDescent="0.25">
      <c r="A35" t="s">
        <v>10</v>
      </c>
      <c r="B35" t="s">
        <v>26</v>
      </c>
      <c r="C35" t="s">
        <v>93</v>
      </c>
      <c r="D35" s="3">
        <v>117132.57319810121</v>
      </c>
      <c r="E35" t="s">
        <v>375</v>
      </c>
      <c r="F35" t="s">
        <v>366</v>
      </c>
      <c r="G35" s="6" t="s">
        <v>11</v>
      </c>
      <c r="H35" s="6" t="s">
        <v>21</v>
      </c>
      <c r="I35" s="6" t="s">
        <v>95</v>
      </c>
      <c r="K35" s="6" t="b">
        <v>1</v>
      </c>
      <c r="L35" s="11">
        <f>SUMIFS($D$2:$D35,$E$2:$E35,"2007-2018",$K$2:$K35,TRUE)/auxiliar!$B$3</f>
        <v>0.95181526208179723</v>
      </c>
      <c r="M35" s="11">
        <f>SUMIFS($D$2:$D35,$E$2:$E35,"2019-2024",$K$2:$K35,TRUE)/auxiliar!$B$4</f>
        <v>0</v>
      </c>
    </row>
    <row r="36" spans="1:13" x14ac:dyDescent="0.25">
      <c r="A36" t="s">
        <v>10</v>
      </c>
      <c r="B36" t="s">
        <v>26</v>
      </c>
      <c r="C36" t="s">
        <v>80</v>
      </c>
      <c r="D36" s="3">
        <v>115776.65</v>
      </c>
      <c r="E36" t="s">
        <v>375</v>
      </c>
      <c r="F36" t="s">
        <v>366</v>
      </c>
      <c r="G36" s="6" t="s">
        <v>11</v>
      </c>
      <c r="H36" s="6" t="s">
        <v>21</v>
      </c>
      <c r="I36" s="6" t="s">
        <v>78</v>
      </c>
      <c r="K36" s="6" t="b">
        <v>1</v>
      </c>
      <c r="L36" s="11">
        <f>SUMIFS($D$2:$D36,$E$2:$E36,"2007-2018",$K$2:$K36,TRUE)/auxiliar!$B$3</f>
        <v>0.95373416340663164</v>
      </c>
      <c r="M36" s="11">
        <f>SUMIFS($D$2:$D36,$E$2:$E36,"2019-2024",$K$2:$K36,TRUE)/auxiliar!$B$4</f>
        <v>0</v>
      </c>
    </row>
    <row r="37" spans="1:13" x14ac:dyDescent="0.25">
      <c r="A37" t="s">
        <v>10</v>
      </c>
      <c r="B37" t="s">
        <v>26</v>
      </c>
      <c r="C37" t="s">
        <v>108</v>
      </c>
      <c r="D37" s="3">
        <v>114691.222141137</v>
      </c>
      <c r="E37" t="s">
        <v>375</v>
      </c>
      <c r="F37" t="s">
        <v>366</v>
      </c>
      <c r="G37" s="6" t="s">
        <v>11</v>
      </c>
      <c r="H37" s="6" t="s">
        <v>21</v>
      </c>
      <c r="I37" s="6" t="s">
        <v>107</v>
      </c>
      <c r="K37" s="6" t="b">
        <v>1</v>
      </c>
      <c r="L37" s="11">
        <f>SUMIFS($D$2:$D37,$E$2:$E37,"2007-2018",$K$2:$K37,TRUE)/auxiliar!$B$3</f>
        <v>0.95563507467080711</v>
      </c>
      <c r="M37" s="11">
        <f>SUMIFS($D$2:$D37,$E$2:$E37,"2019-2024",$K$2:$K37,TRUE)/auxiliar!$B$4</f>
        <v>0</v>
      </c>
    </row>
    <row r="38" spans="1:13" x14ac:dyDescent="0.25">
      <c r="A38" t="s">
        <v>13</v>
      </c>
      <c r="B38" t="s">
        <v>29</v>
      </c>
      <c r="C38" t="s">
        <v>101</v>
      </c>
      <c r="D38" s="3">
        <v>99246.64998702296</v>
      </c>
      <c r="E38" t="s">
        <v>375</v>
      </c>
      <c r="F38" t="s">
        <v>366</v>
      </c>
      <c r="G38" s="6" t="s">
        <v>12</v>
      </c>
      <c r="H38" s="6" t="s">
        <v>28</v>
      </c>
      <c r="I38" s="6" t="s">
        <v>91</v>
      </c>
      <c r="K38" s="6" t="b">
        <v>1</v>
      </c>
      <c r="L38" s="11">
        <f>SUMIFS($D$2:$D38,$E$2:$E38,"2007-2018",$K$2:$K38,TRUE)/auxiliar!$B$3</f>
        <v>0.95728000504446598</v>
      </c>
      <c r="M38" s="11">
        <f>SUMIFS($D$2:$D38,$E$2:$E38,"2019-2024",$K$2:$K38,TRUE)/auxiliar!$B$4</f>
        <v>0</v>
      </c>
    </row>
    <row r="39" spans="1:13" x14ac:dyDescent="0.25">
      <c r="A39" t="s">
        <v>14</v>
      </c>
      <c r="B39" t="s">
        <v>22</v>
      </c>
      <c r="C39" t="s">
        <v>110</v>
      </c>
      <c r="D39" s="3">
        <v>96650.58</v>
      </c>
      <c r="E39" t="s">
        <v>375</v>
      </c>
      <c r="F39" t="s">
        <v>366</v>
      </c>
      <c r="G39" s="6" t="s">
        <v>12</v>
      </c>
      <c r="H39" s="6" t="s">
        <v>23</v>
      </c>
      <c r="I39" s="6" t="s">
        <v>105</v>
      </c>
      <c r="K39" s="6" t="b">
        <v>1</v>
      </c>
      <c r="L39" s="11">
        <f>SUMIFS($D$2:$D39,$E$2:$E39,"2007-2018",$K$2:$K39,TRUE)/auxiliar!$B$3</f>
        <v>0.95888190772525705</v>
      </c>
      <c r="M39" s="11">
        <f>SUMIFS($D$2:$D39,$E$2:$E39,"2019-2024",$K$2:$K39,TRUE)/auxiliar!$B$4</f>
        <v>0</v>
      </c>
    </row>
    <row r="40" spans="1:13" x14ac:dyDescent="0.25">
      <c r="A40" t="s">
        <v>10</v>
      </c>
      <c r="B40" t="s">
        <v>26</v>
      </c>
      <c r="C40" t="s">
        <v>109</v>
      </c>
      <c r="D40" s="3">
        <v>93599.744347771149</v>
      </c>
      <c r="E40" t="s">
        <v>375</v>
      </c>
      <c r="F40" t="s">
        <v>366</v>
      </c>
      <c r="G40" s="6" t="s">
        <v>11</v>
      </c>
      <c r="H40" s="6" t="s">
        <v>21</v>
      </c>
      <c r="I40" s="6" t="s">
        <v>106</v>
      </c>
      <c r="K40" s="6" t="b">
        <v>1</v>
      </c>
      <c r="L40" s="11">
        <f>SUMIFS($D$2:$D40,$E$2:$E40,"2007-2018",$K$2:$K40,TRUE)/auxiliar!$B$3</f>
        <v>0.96043324535191243</v>
      </c>
      <c r="M40" s="11">
        <f>SUMIFS($D$2:$D40,$E$2:$E40,"2019-2024",$K$2:$K40,TRUE)/auxiliar!$B$4</f>
        <v>0</v>
      </c>
    </row>
    <row r="41" spans="1:13" x14ac:dyDescent="0.25">
      <c r="A41" t="s">
        <v>13</v>
      </c>
      <c r="B41" t="s">
        <v>20</v>
      </c>
      <c r="C41" t="s">
        <v>171</v>
      </c>
      <c r="D41" s="3">
        <v>91067.256564589872</v>
      </c>
      <c r="E41" t="s">
        <v>375</v>
      </c>
      <c r="F41" t="s">
        <v>366</v>
      </c>
      <c r="G41" s="6" t="s">
        <v>12</v>
      </c>
      <c r="H41" s="6" t="s">
        <v>18</v>
      </c>
      <c r="I41" s="6" t="s">
        <v>176</v>
      </c>
      <c r="K41" s="6" t="b">
        <v>1</v>
      </c>
      <c r="L41" s="11">
        <f>SUMIFS($D$2:$D41,$E$2:$E41,"2007-2018",$K$2:$K41,TRUE)/auxiliar!$B$3</f>
        <v>0.96194260910765095</v>
      </c>
      <c r="M41" s="11">
        <f>SUMIFS($D$2:$D41,$E$2:$E41,"2019-2024",$K$2:$K41,TRUE)/auxiliar!$B$4</f>
        <v>0</v>
      </c>
    </row>
    <row r="42" spans="1:13" x14ac:dyDescent="0.25">
      <c r="A42" t="s">
        <v>13</v>
      </c>
      <c r="B42" t="s">
        <v>31</v>
      </c>
      <c r="C42" t="s">
        <v>136</v>
      </c>
      <c r="D42" s="3">
        <v>90843.501759745835</v>
      </c>
      <c r="E42" t="s">
        <v>375</v>
      </c>
      <c r="F42" t="s">
        <v>366</v>
      </c>
      <c r="G42" s="6" t="s">
        <v>12</v>
      </c>
      <c r="H42" s="6" t="s">
        <v>16</v>
      </c>
      <c r="I42" s="6" t="s">
        <v>122</v>
      </c>
      <c r="J42" s="6" t="s">
        <v>373</v>
      </c>
      <c r="K42" s="6" t="b">
        <v>1</v>
      </c>
      <c r="L42" s="11">
        <f>SUMIFS($D$2:$D42,$E$2:$E42,"2007-2018",$K$2:$K42,TRUE)/auxiliar!$B$3</f>
        <v>0.96344826431428698</v>
      </c>
      <c r="M42" s="11">
        <f>SUMIFS($D$2:$D42,$E$2:$E42,"2019-2024",$K$2:$K42,TRUE)/auxiliar!$B$4</f>
        <v>0</v>
      </c>
    </row>
    <row r="43" spans="1:13" x14ac:dyDescent="0.25">
      <c r="A43" t="s">
        <v>13</v>
      </c>
      <c r="B43" t="s">
        <v>29</v>
      </c>
      <c r="C43" t="s">
        <v>116</v>
      </c>
      <c r="D43" s="3">
        <v>90500.938335473344</v>
      </c>
      <c r="E43" t="s">
        <v>375</v>
      </c>
      <c r="F43" t="s">
        <v>366</v>
      </c>
      <c r="G43" s="6" t="s">
        <v>12</v>
      </c>
      <c r="H43" s="6" t="s">
        <v>28</v>
      </c>
      <c r="I43" s="6" t="s">
        <v>102</v>
      </c>
      <c r="K43" s="6" t="b">
        <v>1</v>
      </c>
      <c r="L43" s="11">
        <f>SUMIFS($D$2:$D43,$E$2:$E43,"2007-2018",$K$2:$K43,TRUE)/auxiliar!$B$3</f>
        <v>0.96494824181813332</v>
      </c>
      <c r="M43" s="11">
        <f>SUMIFS($D$2:$D43,$E$2:$E43,"2019-2024",$K$2:$K43,TRUE)/auxiliar!$B$4</f>
        <v>0</v>
      </c>
    </row>
    <row r="44" spans="1:13" x14ac:dyDescent="0.25">
      <c r="A44" t="s">
        <v>13</v>
      </c>
      <c r="B44" t="s">
        <v>25</v>
      </c>
      <c r="C44" t="s">
        <v>114</v>
      </c>
      <c r="D44" s="3">
        <v>87457.698999999993</v>
      </c>
      <c r="E44" t="s">
        <v>375</v>
      </c>
      <c r="F44" t="s">
        <v>366</v>
      </c>
      <c r="G44" s="6" t="s">
        <v>12</v>
      </c>
      <c r="H44" s="6" t="s">
        <v>24</v>
      </c>
      <c r="I44" s="6" t="s">
        <v>119</v>
      </c>
      <c r="K44" s="6" t="b">
        <v>1</v>
      </c>
      <c r="L44" s="11">
        <f>SUMIFS($D$2:$D44,$E$2:$E44,"2007-2018",$K$2:$K44,TRUE)/auxiliar!$B$3</f>
        <v>0.96639778017045275</v>
      </c>
      <c r="M44" s="11">
        <f>SUMIFS($D$2:$D44,$E$2:$E44,"2019-2024",$K$2:$K44,TRUE)/auxiliar!$B$4</f>
        <v>0</v>
      </c>
    </row>
    <row r="45" spans="1:13" x14ac:dyDescent="0.25">
      <c r="A45" t="s">
        <v>10</v>
      </c>
      <c r="B45" t="s">
        <v>26</v>
      </c>
      <c r="C45" t="s">
        <v>115</v>
      </c>
      <c r="D45" s="3">
        <v>77288.504699366764</v>
      </c>
      <c r="E45" t="s">
        <v>375</v>
      </c>
      <c r="F45" t="s">
        <v>366</v>
      </c>
      <c r="G45" s="6" t="s">
        <v>11</v>
      </c>
      <c r="H45" s="6" t="s">
        <v>21</v>
      </c>
      <c r="I45" s="6" t="s">
        <v>111</v>
      </c>
      <c r="K45" s="6" t="b">
        <v>1</v>
      </c>
      <c r="L45" s="11">
        <f>SUMIFS($D$2:$D45,$E$2:$E45,"2007-2018",$K$2:$K45,TRUE)/auxiliar!$B$3</f>
        <v>0.96767877261635693</v>
      </c>
      <c r="M45" s="11">
        <f>SUMIFS($D$2:$D45,$E$2:$E45,"2019-2024",$K$2:$K45,TRUE)/auxiliar!$B$4</f>
        <v>0</v>
      </c>
    </row>
    <row r="46" spans="1:13" x14ac:dyDescent="0.25">
      <c r="A46" t="s">
        <v>10</v>
      </c>
      <c r="B46" t="s">
        <v>26</v>
      </c>
      <c r="C46" t="s">
        <v>120</v>
      </c>
      <c r="D46" s="3">
        <v>76137.7</v>
      </c>
      <c r="E46" t="s">
        <v>375</v>
      </c>
      <c r="F46" t="s">
        <v>366</v>
      </c>
      <c r="J46" s="10" t="s">
        <v>368</v>
      </c>
      <c r="K46" s="6" t="b">
        <v>0</v>
      </c>
      <c r="L46" s="11">
        <f>SUMIFS($D$2:$D46,$E$2:$E46,"2007-2018",$K$2:$K46,TRUE)/auxiliar!$B$3</f>
        <v>0.96767877261635693</v>
      </c>
      <c r="M46" s="11">
        <f>SUMIFS($D$2:$D46,$E$2:$E46,"2019-2024",$K$2:$K46,TRUE)/auxiliar!$B$4</f>
        <v>0</v>
      </c>
    </row>
    <row r="47" spans="1:13" x14ac:dyDescent="0.25">
      <c r="A47" t="s">
        <v>10</v>
      </c>
      <c r="B47" t="s">
        <v>15</v>
      </c>
      <c r="C47" t="s">
        <v>134</v>
      </c>
      <c r="D47" s="3">
        <v>67088.312885487117</v>
      </c>
      <c r="E47" t="s">
        <v>375</v>
      </c>
      <c r="F47" t="s">
        <v>366</v>
      </c>
      <c r="G47" s="6" t="s">
        <v>11</v>
      </c>
      <c r="H47" s="6" t="s">
        <v>16</v>
      </c>
      <c r="I47" s="6" t="s">
        <v>44</v>
      </c>
      <c r="J47" s="6" t="s">
        <v>374</v>
      </c>
      <c r="K47" s="6" t="b">
        <v>1</v>
      </c>
      <c r="L47" s="11">
        <f>SUMIFS($D$2:$D47,$E$2:$E47,"2007-2018",$K$2:$K47,TRUE)/auxiliar!$B$3</f>
        <v>0.96879070539793988</v>
      </c>
      <c r="M47" s="11">
        <f>SUMIFS($D$2:$D47,$E$2:$E47,"2019-2024",$K$2:$K47,TRUE)/auxiliar!$B$4</f>
        <v>0</v>
      </c>
    </row>
    <row r="48" spans="1:13" x14ac:dyDescent="0.25">
      <c r="A48" t="s">
        <v>10</v>
      </c>
      <c r="B48" t="s">
        <v>26</v>
      </c>
      <c r="C48" t="s">
        <v>132</v>
      </c>
      <c r="D48" s="3">
        <v>60939.770736733473</v>
      </c>
      <c r="E48" t="s">
        <v>375</v>
      </c>
      <c r="F48" t="s">
        <v>366</v>
      </c>
      <c r="G48" s="6" t="s">
        <v>11</v>
      </c>
      <c r="H48" s="6" t="s">
        <v>21</v>
      </c>
      <c r="I48" s="6" t="s">
        <v>128</v>
      </c>
      <c r="K48" s="6" t="b">
        <v>1</v>
      </c>
      <c r="L48" s="11">
        <f>SUMIFS($D$2:$D48,$E$2:$E48,"2007-2018",$K$2:$K48,TRUE)/auxiliar!$B$3</f>
        <v>0.9698007312261343</v>
      </c>
      <c r="M48" s="11">
        <f>SUMIFS($D$2:$D48,$E$2:$E48,"2019-2024",$K$2:$K48,TRUE)/auxiliar!$B$4</f>
        <v>0</v>
      </c>
    </row>
    <row r="49" spans="1:13" x14ac:dyDescent="0.25">
      <c r="A49" t="s">
        <v>13</v>
      </c>
      <c r="B49" t="s">
        <v>26</v>
      </c>
      <c r="C49" t="s">
        <v>127</v>
      </c>
      <c r="D49" s="3">
        <v>54990.861201822248</v>
      </c>
      <c r="E49" t="s">
        <v>375</v>
      </c>
      <c r="F49" t="s">
        <v>366</v>
      </c>
      <c r="G49" s="6" t="s">
        <v>12</v>
      </c>
      <c r="H49" s="6" t="s">
        <v>28</v>
      </c>
      <c r="I49" s="6" t="s">
        <v>125</v>
      </c>
      <c r="K49" s="6" t="b">
        <v>1</v>
      </c>
      <c r="L49" s="11">
        <f>SUMIFS($D$2:$D49,$E$2:$E49,"2007-2018",$K$2:$K49,TRUE)/auxiliar!$B$3</f>
        <v>0.97071215884486362</v>
      </c>
      <c r="M49" s="11">
        <f>SUMIFS($D$2:$D49,$E$2:$E49,"2019-2024",$K$2:$K49,TRUE)/auxiliar!$B$4</f>
        <v>0</v>
      </c>
    </row>
    <row r="50" spans="1:13" x14ac:dyDescent="0.25">
      <c r="A50" t="s">
        <v>13</v>
      </c>
      <c r="B50" t="s">
        <v>29</v>
      </c>
      <c r="C50" t="s">
        <v>112</v>
      </c>
      <c r="D50" s="3">
        <v>53753.186216110327</v>
      </c>
      <c r="E50" t="s">
        <v>375</v>
      </c>
      <c r="F50" t="s">
        <v>366</v>
      </c>
      <c r="G50" s="6" t="s">
        <v>12</v>
      </c>
      <c r="H50" s="6" t="s">
        <v>28</v>
      </c>
      <c r="I50" s="6" t="s">
        <v>113</v>
      </c>
      <c r="K50" s="6" t="b">
        <v>1</v>
      </c>
      <c r="L50" s="11">
        <f>SUMIFS($D$2:$D50,$E$2:$E50,"2007-2018",$K$2:$K50,TRUE)/auxiliar!$B$3</f>
        <v>0.97160307303390059</v>
      </c>
      <c r="M50" s="11">
        <f>SUMIFS($D$2:$D50,$E$2:$E50,"2019-2024",$K$2:$K50,TRUE)/auxiliar!$B$4</f>
        <v>0</v>
      </c>
    </row>
    <row r="51" spans="1:13" x14ac:dyDescent="0.25">
      <c r="A51" t="s">
        <v>10</v>
      </c>
      <c r="B51" t="s">
        <v>26</v>
      </c>
      <c r="C51" t="s">
        <v>118</v>
      </c>
      <c r="D51" s="3">
        <v>50122.98</v>
      </c>
      <c r="E51" t="s">
        <v>375</v>
      </c>
      <c r="F51" t="s">
        <v>366</v>
      </c>
      <c r="G51" s="6" t="s">
        <v>11</v>
      </c>
      <c r="H51" s="6" t="s">
        <v>21</v>
      </c>
      <c r="I51" s="6" t="s">
        <v>121</v>
      </c>
      <c r="K51" s="6" t="b">
        <v>1</v>
      </c>
      <c r="L51" s="11">
        <f>SUMIFS($D$2:$D51,$E$2:$E51,"2007-2018",$K$2:$K51,TRUE)/auxiliar!$B$3</f>
        <v>0.97243381958535668</v>
      </c>
      <c r="M51" s="11">
        <f>SUMIFS($D$2:$D51,$E$2:$E51,"2019-2024",$K$2:$K51,TRUE)/auxiliar!$B$4</f>
        <v>0</v>
      </c>
    </row>
    <row r="52" spans="1:13" x14ac:dyDescent="0.25">
      <c r="A52" t="s">
        <v>13</v>
      </c>
      <c r="B52" t="s">
        <v>19</v>
      </c>
      <c r="C52" t="s">
        <v>123</v>
      </c>
      <c r="D52" s="3">
        <v>49998.544999999998</v>
      </c>
      <c r="E52" t="s">
        <v>375</v>
      </c>
      <c r="F52" t="s">
        <v>366</v>
      </c>
      <c r="G52" s="6" t="s">
        <v>12</v>
      </c>
      <c r="H52" s="6" t="s">
        <v>17</v>
      </c>
      <c r="I52" s="6" t="s">
        <v>131</v>
      </c>
      <c r="K52" s="6" t="b">
        <v>1</v>
      </c>
      <c r="L52" s="11">
        <f>SUMIFS($D$2:$D52,$E$2:$E52,"2007-2018",$K$2:$K52,TRUE)/auxiliar!$B$3</f>
        <v>0.97326250373056467</v>
      </c>
      <c r="M52" s="11">
        <f>SUMIFS($D$2:$D52,$E$2:$E52,"2019-2024",$K$2:$K52,TRUE)/auxiliar!$B$4</f>
        <v>0</v>
      </c>
    </row>
    <row r="53" spans="1:13" x14ac:dyDescent="0.25">
      <c r="A53" t="s">
        <v>14</v>
      </c>
      <c r="B53" t="s">
        <v>15</v>
      </c>
      <c r="C53" t="s">
        <v>160</v>
      </c>
      <c r="D53" s="3">
        <v>49563.882296615571</v>
      </c>
      <c r="E53" t="s">
        <v>375</v>
      </c>
      <c r="F53" t="s">
        <v>366</v>
      </c>
      <c r="G53" s="6" t="s">
        <v>12</v>
      </c>
      <c r="H53" s="6" t="s">
        <v>16</v>
      </c>
      <c r="I53" s="6" t="s">
        <v>122</v>
      </c>
      <c r="J53" s="6" t="s">
        <v>373</v>
      </c>
      <c r="K53" s="6" t="b">
        <v>1</v>
      </c>
      <c r="L53" s="11">
        <f>SUMIFS($D$2:$D53,$E$2:$E53,"2007-2018",$K$2:$K53,TRUE)/auxiliar!$B$3</f>
        <v>0.97408398370431515</v>
      </c>
      <c r="M53" s="11">
        <f>SUMIFS($D$2:$D53,$E$2:$E53,"2019-2024",$K$2:$K53,TRUE)/auxiliar!$B$4</f>
        <v>0</v>
      </c>
    </row>
    <row r="54" spans="1:13" x14ac:dyDescent="0.25">
      <c r="A54" t="s">
        <v>14</v>
      </c>
      <c r="B54" t="s">
        <v>22</v>
      </c>
      <c r="C54" t="s">
        <v>135</v>
      </c>
      <c r="D54" s="3">
        <v>49236.51</v>
      </c>
      <c r="E54" t="s">
        <v>375</v>
      </c>
      <c r="F54" t="s">
        <v>366</v>
      </c>
      <c r="G54" s="6" t="s">
        <v>12</v>
      </c>
      <c r="H54" s="6" t="s">
        <v>23</v>
      </c>
      <c r="I54" s="6" t="s">
        <v>117</v>
      </c>
      <c r="J54" s="6" t="s">
        <v>368</v>
      </c>
      <c r="K54" s="6" t="b">
        <v>1</v>
      </c>
      <c r="L54" s="11">
        <f>SUMIFS($D$2:$D54,$E$2:$E54,"2007-2018",$K$2:$K54,TRUE)/auxiliar!$B$3</f>
        <v>0.97490003775553546</v>
      </c>
      <c r="M54" s="11">
        <f>SUMIFS($D$2:$D54,$E$2:$E54,"2019-2024",$K$2:$K54,TRUE)/auxiliar!$B$4</f>
        <v>0</v>
      </c>
    </row>
    <row r="55" spans="1:13" x14ac:dyDescent="0.25">
      <c r="A55" t="s">
        <v>13</v>
      </c>
      <c r="B55" t="s">
        <v>29</v>
      </c>
      <c r="C55" t="s">
        <v>129</v>
      </c>
      <c r="D55" s="3">
        <v>46764.04</v>
      </c>
      <c r="E55" t="s">
        <v>375</v>
      </c>
      <c r="F55" t="s">
        <v>366</v>
      </c>
      <c r="G55" s="6" t="s">
        <v>12</v>
      </c>
      <c r="H55" s="6" t="s">
        <v>28</v>
      </c>
      <c r="I55" s="6" t="s">
        <v>124</v>
      </c>
      <c r="K55" s="6" t="b">
        <v>1</v>
      </c>
      <c r="L55" s="11">
        <f>SUMIFS($D$2:$D55,$E$2:$E55,"2007-2018",$K$2:$K55,TRUE)/auxiliar!$B$3</f>
        <v>0.97567511268049323</v>
      </c>
      <c r="M55" s="11">
        <f>SUMIFS($D$2:$D55,$E$2:$E55,"2019-2024",$K$2:$K55,TRUE)/auxiliar!$B$4</f>
        <v>0</v>
      </c>
    </row>
    <row r="56" spans="1:13" x14ac:dyDescent="0.25">
      <c r="A56" t="s">
        <v>13</v>
      </c>
      <c r="B56" t="s">
        <v>29</v>
      </c>
      <c r="C56" t="s">
        <v>130</v>
      </c>
      <c r="D56" s="3">
        <v>43869.674503882707</v>
      </c>
      <c r="E56" t="s">
        <v>375</v>
      </c>
      <c r="F56" t="s">
        <v>366</v>
      </c>
      <c r="G56" s="6" t="s">
        <v>12</v>
      </c>
      <c r="H56" s="6" t="s">
        <v>28</v>
      </c>
      <c r="I56" s="6" t="s">
        <v>133</v>
      </c>
      <c r="K56" s="6" t="b">
        <v>1</v>
      </c>
      <c r="L56" s="11">
        <f>SUMIFS($D$2:$D56,$E$2:$E56,"2007-2018",$K$2:$K56,TRUE)/auxiliar!$B$3</f>
        <v>0.97640221591353338</v>
      </c>
      <c r="M56" s="11">
        <f>SUMIFS($D$2:$D56,$E$2:$E56,"2019-2024",$K$2:$K56,TRUE)/auxiliar!$B$4</f>
        <v>0</v>
      </c>
    </row>
    <row r="57" spans="1:13" x14ac:dyDescent="0.25">
      <c r="A57" t="s">
        <v>10</v>
      </c>
      <c r="B57" t="s">
        <v>26</v>
      </c>
      <c r="C57" t="s">
        <v>152</v>
      </c>
      <c r="D57" s="3">
        <v>39208.425563095967</v>
      </c>
      <c r="E57" t="s">
        <v>375</v>
      </c>
      <c r="F57" t="s">
        <v>366</v>
      </c>
      <c r="G57" s="6" t="s">
        <v>11</v>
      </c>
      <c r="H57" s="6" t="s">
        <v>21</v>
      </c>
      <c r="I57" s="6" t="s">
        <v>147</v>
      </c>
      <c r="K57" s="6" t="b">
        <v>1</v>
      </c>
      <c r="L57" s="11">
        <f>SUMIFS($D$2:$D57,$E$2:$E57,"2007-2018",$K$2:$K57,TRUE)/auxiliar!$B$3</f>
        <v>0.9770520628365329</v>
      </c>
      <c r="M57" s="11">
        <f>SUMIFS($D$2:$D57,$E$2:$E57,"2019-2024",$K$2:$K57,TRUE)/auxiliar!$B$4</f>
        <v>0</v>
      </c>
    </row>
    <row r="58" spans="1:13" x14ac:dyDescent="0.25">
      <c r="A58" t="s">
        <v>10</v>
      </c>
      <c r="B58" t="s">
        <v>29</v>
      </c>
      <c r="C58" t="s">
        <v>257</v>
      </c>
      <c r="D58" s="3">
        <v>38703</v>
      </c>
      <c r="E58" t="s">
        <v>375</v>
      </c>
      <c r="F58" t="s">
        <v>366</v>
      </c>
      <c r="G58" s="6" t="s">
        <v>11</v>
      </c>
      <c r="H58" s="6" t="s">
        <v>28</v>
      </c>
      <c r="I58" s="6" t="s">
        <v>256</v>
      </c>
      <c r="K58" s="6" t="b">
        <v>1</v>
      </c>
      <c r="L58" s="11">
        <f>SUMIFS($D$2:$D58,$E$2:$E58,"2007-2018",$K$2:$K58,TRUE)/auxiliar!$B$3</f>
        <v>0.97769353275274717</v>
      </c>
      <c r="M58" s="11">
        <f>SUMIFS($D$2:$D58,$E$2:$E58,"2019-2024",$K$2:$K58,TRUE)/auxiliar!$B$4</f>
        <v>0</v>
      </c>
    </row>
    <row r="59" spans="1:13" x14ac:dyDescent="0.25">
      <c r="A59" t="s">
        <v>13</v>
      </c>
      <c r="B59" t="s">
        <v>25</v>
      </c>
      <c r="C59" t="s">
        <v>157</v>
      </c>
      <c r="D59" s="3">
        <v>34160.449999999997</v>
      </c>
      <c r="E59" t="s">
        <v>375</v>
      </c>
      <c r="F59" t="s">
        <v>366</v>
      </c>
      <c r="G59" s="6" t="s">
        <v>12</v>
      </c>
      <c r="H59" s="6" t="s">
        <v>24</v>
      </c>
      <c r="I59" s="6" t="s">
        <v>167</v>
      </c>
      <c r="K59" s="6" t="b">
        <v>1</v>
      </c>
      <c r="L59" s="11">
        <f>SUMIFS($D$2:$D59,$E$2:$E59,"2007-2018",$K$2:$K59,TRUE)/auxiliar!$B$3</f>
        <v>0.97825971369477605</v>
      </c>
      <c r="M59" s="11">
        <f>SUMIFS($D$2:$D59,$E$2:$E59,"2019-2024",$K$2:$K59,TRUE)/auxiliar!$B$4</f>
        <v>0</v>
      </c>
    </row>
    <row r="60" spans="1:13" x14ac:dyDescent="0.25">
      <c r="A60" t="s">
        <v>10</v>
      </c>
      <c r="B60" t="s">
        <v>26</v>
      </c>
      <c r="C60" t="s">
        <v>150</v>
      </c>
      <c r="D60" s="3">
        <v>32730.06350540834</v>
      </c>
      <c r="E60" t="s">
        <v>375</v>
      </c>
      <c r="F60" t="s">
        <v>366</v>
      </c>
      <c r="G60" s="6" t="s">
        <v>11</v>
      </c>
      <c r="H60" s="6" t="s">
        <v>21</v>
      </c>
      <c r="I60" s="6" t="s">
        <v>151</v>
      </c>
      <c r="K60" s="6" t="b">
        <v>1</v>
      </c>
      <c r="L60" s="11">
        <f>SUMIFS($D$2:$D60,$E$2:$E60,"2007-2018",$K$2:$K60,TRUE)/auxiliar!$B$3</f>
        <v>0.978802187174726</v>
      </c>
      <c r="M60" s="11">
        <f>SUMIFS($D$2:$D60,$E$2:$E60,"2019-2024",$K$2:$K60,TRUE)/auxiliar!$B$4</f>
        <v>0</v>
      </c>
    </row>
    <row r="61" spans="1:13" x14ac:dyDescent="0.25">
      <c r="A61" t="s">
        <v>13</v>
      </c>
      <c r="B61" t="s">
        <v>29</v>
      </c>
      <c r="C61" t="s">
        <v>146</v>
      </c>
      <c r="D61" s="3">
        <v>31762.205607832591</v>
      </c>
      <c r="E61" t="s">
        <v>375</v>
      </c>
      <c r="F61" t="s">
        <v>366</v>
      </c>
      <c r="G61" s="6" t="s">
        <v>12</v>
      </c>
      <c r="H61" s="6" t="s">
        <v>28</v>
      </c>
      <c r="I61" s="6" t="s">
        <v>141</v>
      </c>
      <c r="K61" s="6" t="b">
        <v>1</v>
      </c>
      <c r="L61" s="11">
        <f>SUMIFS($D$2:$D61,$E$2:$E61,"2007-2018",$K$2:$K61,TRUE)/auxiliar!$B$3</f>
        <v>0.97932861921797942</v>
      </c>
      <c r="M61" s="11">
        <f>SUMIFS($D$2:$D61,$E$2:$E61,"2019-2024",$K$2:$K61,TRUE)/auxiliar!$B$4</f>
        <v>0</v>
      </c>
    </row>
    <row r="62" spans="1:13" x14ac:dyDescent="0.25">
      <c r="A62" t="s">
        <v>13</v>
      </c>
      <c r="B62" t="s">
        <v>29</v>
      </c>
      <c r="C62" t="s">
        <v>148</v>
      </c>
      <c r="D62" s="3">
        <v>31628.197645897199</v>
      </c>
      <c r="E62" t="s">
        <v>375</v>
      </c>
      <c r="F62" t="s">
        <v>366</v>
      </c>
      <c r="G62" s="6" t="s">
        <v>12</v>
      </c>
      <c r="H62" s="6" t="s">
        <v>28</v>
      </c>
      <c r="I62" s="6" t="s">
        <v>139</v>
      </c>
      <c r="K62" s="6" t="b">
        <v>1</v>
      </c>
      <c r="L62" s="11">
        <f>SUMIFS($D$2:$D62,$E$2:$E62,"2007-2018",$K$2:$K62,TRUE)/auxiliar!$B$3</f>
        <v>0.9798528301911319</v>
      </c>
      <c r="M62" s="11">
        <f>SUMIFS($D$2:$D62,$E$2:$E62,"2019-2024",$K$2:$K62,TRUE)/auxiliar!$B$4</f>
        <v>0</v>
      </c>
    </row>
    <row r="63" spans="1:13" x14ac:dyDescent="0.25">
      <c r="A63" t="s">
        <v>13</v>
      </c>
      <c r="B63" t="s">
        <v>29</v>
      </c>
      <c r="C63" t="s">
        <v>177</v>
      </c>
      <c r="D63" s="3">
        <v>31587.740537200421</v>
      </c>
      <c r="E63" t="s">
        <v>375</v>
      </c>
      <c r="F63" t="s">
        <v>366</v>
      </c>
      <c r="G63" s="6" t="s">
        <v>12</v>
      </c>
      <c r="H63" s="6" t="s">
        <v>28</v>
      </c>
      <c r="I63" s="6" t="s">
        <v>184</v>
      </c>
      <c r="K63" s="6" t="b">
        <v>1</v>
      </c>
      <c r="L63" s="11">
        <f>SUMIFS($D$2:$D63,$E$2:$E63,"2007-2018",$K$2:$K63,TRUE)/auxiliar!$B$3</f>
        <v>0.98037637062148086</v>
      </c>
      <c r="M63" s="11">
        <f>SUMIFS($D$2:$D63,$E$2:$E63,"2019-2024",$K$2:$K63,TRUE)/auxiliar!$B$4</f>
        <v>0</v>
      </c>
    </row>
    <row r="64" spans="1:13" x14ac:dyDescent="0.25">
      <c r="A64" t="s">
        <v>10</v>
      </c>
      <c r="B64" t="s">
        <v>26</v>
      </c>
      <c r="C64" t="s">
        <v>153</v>
      </c>
      <c r="D64" s="3">
        <v>26292.939505484901</v>
      </c>
      <c r="E64" t="s">
        <v>375</v>
      </c>
      <c r="F64" t="s">
        <v>366</v>
      </c>
      <c r="G64" s="6" t="s">
        <v>11</v>
      </c>
      <c r="H64" s="6" t="s">
        <v>21</v>
      </c>
      <c r="I64" s="6" t="s">
        <v>155</v>
      </c>
      <c r="K64" s="6" t="b">
        <v>1</v>
      </c>
      <c r="L64" s="11">
        <f>SUMIFS($D$2:$D64,$E$2:$E64,"2007-2018",$K$2:$K64,TRUE)/auxiliar!$B$3</f>
        <v>0.98081215414476364</v>
      </c>
      <c r="M64" s="11">
        <f>SUMIFS($D$2:$D64,$E$2:$E64,"2019-2024",$K$2:$K64,TRUE)/auxiliar!$B$4</f>
        <v>0</v>
      </c>
    </row>
    <row r="65" spans="1:13" x14ac:dyDescent="0.25">
      <c r="A65" t="s">
        <v>13</v>
      </c>
      <c r="B65" t="s">
        <v>20</v>
      </c>
      <c r="C65" t="s">
        <v>145</v>
      </c>
      <c r="D65" s="3">
        <v>25627.7</v>
      </c>
      <c r="E65" t="s">
        <v>375</v>
      </c>
      <c r="F65" t="s">
        <v>366</v>
      </c>
      <c r="J65" s="10" t="s">
        <v>368</v>
      </c>
      <c r="K65" s="6" t="b">
        <v>0</v>
      </c>
      <c r="L65" s="11">
        <f>SUMIFS($D$2:$D65,$E$2:$E65,"2007-2018",$K$2:$K65,TRUE)/auxiliar!$B$3</f>
        <v>0.98081215414476364</v>
      </c>
      <c r="M65" s="11">
        <f>SUMIFS($D$2:$D65,$E$2:$E65,"2019-2024",$K$2:$K65,TRUE)/auxiliar!$B$4</f>
        <v>0</v>
      </c>
    </row>
    <row r="66" spans="1:13" x14ac:dyDescent="0.25">
      <c r="A66" t="s">
        <v>13</v>
      </c>
      <c r="B66" t="s">
        <v>20</v>
      </c>
      <c r="C66" t="s">
        <v>189</v>
      </c>
      <c r="D66" s="3">
        <v>25587.852061704889</v>
      </c>
      <c r="E66" t="s">
        <v>375</v>
      </c>
      <c r="F66" t="s">
        <v>366</v>
      </c>
      <c r="G66" s="6" t="s">
        <v>12</v>
      </c>
      <c r="H66" s="6" t="s">
        <v>18</v>
      </c>
      <c r="I66" s="6" t="s">
        <v>170</v>
      </c>
      <c r="K66" s="6" t="b">
        <v>1</v>
      </c>
      <c r="L66" s="11">
        <f>SUMIFS($D$2:$D66,$E$2:$E66,"2007-2018",$K$2:$K66,TRUE)/auxiliar!$B$3</f>
        <v>0.9812362514322639</v>
      </c>
      <c r="M66" s="11">
        <f>SUMIFS($D$2:$D66,$E$2:$E66,"2019-2024",$K$2:$K66,TRUE)/auxiliar!$B$4</f>
        <v>0</v>
      </c>
    </row>
    <row r="67" spans="1:13" x14ac:dyDescent="0.25">
      <c r="A67" t="s">
        <v>10</v>
      </c>
      <c r="B67" t="s">
        <v>26</v>
      </c>
      <c r="C67" t="s">
        <v>143</v>
      </c>
      <c r="D67" s="3">
        <v>25194.37</v>
      </c>
      <c r="E67" t="s">
        <v>375</v>
      </c>
      <c r="F67" t="s">
        <v>366</v>
      </c>
      <c r="G67" s="6" t="s">
        <v>11</v>
      </c>
      <c r="H67" s="6" t="s">
        <v>21</v>
      </c>
      <c r="I67" s="6" t="s">
        <v>142</v>
      </c>
      <c r="K67" s="6" t="b">
        <v>1</v>
      </c>
      <c r="L67" s="11">
        <f>SUMIFS($D$2:$D67,$E$2:$E67,"2007-2018",$K$2:$K67,TRUE)/auxiliar!$B$3</f>
        <v>0.98165382708306537</v>
      </c>
      <c r="M67" s="11">
        <f>SUMIFS($D$2:$D67,$E$2:$E67,"2019-2024",$K$2:$K67,TRUE)/auxiliar!$B$4</f>
        <v>0</v>
      </c>
    </row>
    <row r="68" spans="1:13" x14ac:dyDescent="0.25">
      <c r="A68" t="s">
        <v>10</v>
      </c>
      <c r="B68" t="s">
        <v>26</v>
      </c>
      <c r="C68" t="s">
        <v>183</v>
      </c>
      <c r="D68" s="3">
        <v>21973.654794557518</v>
      </c>
      <c r="E68" t="s">
        <v>375</v>
      </c>
      <c r="F68" t="s">
        <v>366</v>
      </c>
      <c r="G68" s="6" t="s">
        <v>11</v>
      </c>
      <c r="H68" s="6" t="s">
        <v>21</v>
      </c>
      <c r="I68" s="6" t="s">
        <v>182</v>
      </c>
      <c r="K68" s="6" t="b">
        <v>1</v>
      </c>
      <c r="L68" s="11">
        <f>SUMIFS($D$2:$D68,$E$2:$E68,"2007-2018",$K$2:$K68,TRUE)/auxiliar!$B$3</f>
        <v>0.98201802206794986</v>
      </c>
      <c r="M68" s="11">
        <f>SUMIFS($D$2:$D68,$E$2:$E68,"2019-2024",$K$2:$K68,TRUE)/auxiliar!$B$4</f>
        <v>0</v>
      </c>
    </row>
    <row r="69" spans="1:13" x14ac:dyDescent="0.25">
      <c r="A69" t="s">
        <v>10</v>
      </c>
      <c r="B69" t="s">
        <v>26</v>
      </c>
      <c r="C69" t="s">
        <v>140</v>
      </c>
      <c r="D69" s="3">
        <v>21437.3</v>
      </c>
      <c r="E69" t="s">
        <v>375</v>
      </c>
      <c r="F69" t="s">
        <v>366</v>
      </c>
      <c r="G69" s="6" t="s">
        <v>11</v>
      </c>
      <c r="H69" s="6" t="s">
        <v>21</v>
      </c>
      <c r="I69" s="6" t="s">
        <v>126</v>
      </c>
      <c r="K69" s="6" t="b">
        <v>1</v>
      </c>
      <c r="L69" s="11">
        <f>SUMIFS($D$2:$D69,$E$2:$E69,"2007-2018",$K$2:$K69,TRUE)/auxiliar!$B$3</f>
        <v>0.98237332741985695</v>
      </c>
      <c r="M69" s="11">
        <f>SUMIFS($D$2:$D69,$E$2:$E69,"2019-2024",$K$2:$K69,TRUE)/auxiliar!$B$4</f>
        <v>0</v>
      </c>
    </row>
    <row r="70" spans="1:13" x14ac:dyDescent="0.25">
      <c r="A70" t="s">
        <v>10</v>
      </c>
      <c r="B70" t="s">
        <v>26</v>
      </c>
      <c r="C70" t="s">
        <v>154</v>
      </c>
      <c r="D70" s="3">
        <v>20754.921684040612</v>
      </c>
      <c r="E70" t="s">
        <v>375</v>
      </c>
      <c r="F70" t="s">
        <v>366</v>
      </c>
      <c r="G70" s="6" t="s">
        <v>11</v>
      </c>
      <c r="H70" s="6" t="s">
        <v>21</v>
      </c>
      <c r="I70" s="6" t="s">
        <v>149</v>
      </c>
      <c r="K70" s="6" t="b">
        <v>1</v>
      </c>
      <c r="L70" s="11">
        <f>SUMIFS($D$2:$D70,$E$2:$E70,"2007-2018",$K$2:$K70,TRUE)/auxiliar!$B$3</f>
        <v>0.98271732292081804</v>
      </c>
      <c r="M70" s="11">
        <f>SUMIFS($D$2:$D70,$E$2:$E70,"2019-2024",$K$2:$K70,TRUE)/auxiliar!$B$4</f>
        <v>0</v>
      </c>
    </row>
    <row r="71" spans="1:13" x14ac:dyDescent="0.25">
      <c r="A71" t="s">
        <v>10</v>
      </c>
      <c r="B71" t="s">
        <v>26</v>
      </c>
      <c r="C71" t="s">
        <v>178</v>
      </c>
      <c r="D71" s="3">
        <v>19204.298918162709</v>
      </c>
      <c r="E71" t="s">
        <v>375</v>
      </c>
      <c r="F71" t="s">
        <v>366</v>
      </c>
      <c r="G71" s="6" t="s">
        <v>11</v>
      </c>
      <c r="H71" s="6" t="s">
        <v>21</v>
      </c>
      <c r="I71" s="6" t="s">
        <v>181</v>
      </c>
      <c r="K71" s="6" t="b">
        <v>1</v>
      </c>
      <c r="L71" s="11">
        <f>SUMIFS($D$2:$D71,$E$2:$E71,"2007-2018",$K$2:$K71,TRUE)/auxiliar!$B$3</f>
        <v>0.9830356181438753</v>
      </c>
      <c r="M71" s="11">
        <f>SUMIFS($D$2:$D71,$E$2:$E71,"2019-2024",$K$2:$K71,TRUE)/auxiliar!$B$4</f>
        <v>0</v>
      </c>
    </row>
    <row r="72" spans="1:13" x14ac:dyDescent="0.25">
      <c r="A72" t="s">
        <v>13</v>
      </c>
      <c r="B72" t="s">
        <v>25</v>
      </c>
      <c r="C72" t="s">
        <v>191</v>
      </c>
      <c r="D72" s="3">
        <v>19196.57</v>
      </c>
      <c r="E72" t="s">
        <v>375</v>
      </c>
      <c r="F72" t="s">
        <v>366</v>
      </c>
      <c r="G72" s="6" t="s">
        <v>12</v>
      </c>
      <c r="H72" s="6" t="s">
        <v>24</v>
      </c>
      <c r="I72" s="6" t="s">
        <v>193</v>
      </c>
      <c r="K72" s="6" t="b">
        <v>1</v>
      </c>
      <c r="L72" s="11">
        <f>SUMIFS($D$2:$D72,$E$2:$E72,"2007-2018",$K$2:$K72,TRUE)/auxiliar!$B$3</f>
        <v>0.98335378526656614</v>
      </c>
      <c r="M72" s="11">
        <f>SUMIFS($D$2:$D72,$E$2:$E72,"2019-2024",$K$2:$K72,TRUE)/auxiliar!$B$4</f>
        <v>0</v>
      </c>
    </row>
    <row r="73" spans="1:13" x14ac:dyDescent="0.25">
      <c r="A73" t="s">
        <v>10</v>
      </c>
      <c r="B73" t="s">
        <v>26</v>
      </c>
      <c r="C73" t="s">
        <v>187</v>
      </c>
      <c r="D73" s="3">
        <v>16970.76621073511</v>
      </c>
      <c r="E73" t="s">
        <v>375</v>
      </c>
      <c r="F73" t="s">
        <v>366</v>
      </c>
      <c r="G73" s="6" t="s">
        <v>11</v>
      </c>
      <c r="H73" s="6" t="s">
        <v>21</v>
      </c>
      <c r="I73" s="6" t="s">
        <v>174</v>
      </c>
      <c r="K73" s="6" t="b">
        <v>1</v>
      </c>
      <c r="L73" s="11">
        <f>SUMIFS($D$2:$D73,$E$2:$E73,"2007-2018",$K$2:$K73,TRUE)/auxiliar!$B$3</f>
        <v>0.98363506154952329</v>
      </c>
      <c r="M73" s="11">
        <f>SUMIFS($D$2:$D73,$E$2:$E73,"2019-2024",$K$2:$K73,TRUE)/auxiliar!$B$4</f>
        <v>0</v>
      </c>
    </row>
    <row r="74" spans="1:13" x14ac:dyDescent="0.25">
      <c r="A74" t="s">
        <v>10</v>
      </c>
      <c r="B74" t="s">
        <v>26</v>
      </c>
      <c r="C74" t="s">
        <v>162</v>
      </c>
      <c r="D74" s="3">
        <v>16599.990909709071</v>
      </c>
      <c r="E74" t="s">
        <v>375</v>
      </c>
      <c r="F74" t="s">
        <v>366</v>
      </c>
      <c r="G74" s="6" t="s">
        <v>11</v>
      </c>
      <c r="H74" s="6" t="s">
        <v>21</v>
      </c>
      <c r="I74" s="6" t="s">
        <v>168</v>
      </c>
      <c r="K74" s="6" t="b">
        <v>1</v>
      </c>
      <c r="L74" s="11">
        <f>SUMIFS($D$2:$D74,$E$2:$E74,"2007-2018",$K$2:$K74,TRUE)/auxiliar!$B$3</f>
        <v>0.98391019254138468</v>
      </c>
      <c r="M74" s="11">
        <f>SUMIFS($D$2:$D74,$E$2:$E74,"2019-2024",$K$2:$K74,TRUE)/auxiliar!$B$4</f>
        <v>0</v>
      </c>
    </row>
    <row r="75" spans="1:13" x14ac:dyDescent="0.25">
      <c r="A75" t="s">
        <v>14</v>
      </c>
      <c r="B75" t="s">
        <v>25</v>
      </c>
      <c r="C75" t="s">
        <v>192</v>
      </c>
      <c r="D75" s="3">
        <v>15443.915000000001</v>
      </c>
      <c r="E75" t="s">
        <v>375</v>
      </c>
      <c r="F75" t="s">
        <v>366</v>
      </c>
      <c r="G75" s="6" t="s">
        <v>12</v>
      </c>
      <c r="H75" s="6" t="s">
        <v>24</v>
      </c>
      <c r="I75" s="6" t="s">
        <v>164</v>
      </c>
      <c r="K75" s="6" t="b">
        <v>1</v>
      </c>
      <c r="L75" s="11">
        <f>SUMIFS($D$2:$D75,$E$2:$E75,"2007-2018",$K$2:$K75,TRUE)/auxiliar!$B$3</f>
        <v>0.98416616254012035</v>
      </c>
      <c r="M75" s="11">
        <f>SUMIFS($D$2:$D75,$E$2:$E75,"2019-2024",$K$2:$K75,TRUE)/auxiliar!$B$4</f>
        <v>0</v>
      </c>
    </row>
    <row r="76" spans="1:13" x14ac:dyDescent="0.25">
      <c r="A76" t="s">
        <v>10</v>
      </c>
      <c r="B76" t="s">
        <v>26</v>
      </c>
      <c r="C76" t="s">
        <v>173</v>
      </c>
      <c r="D76" s="3">
        <v>15222.232940583061</v>
      </c>
      <c r="E76" t="s">
        <v>375</v>
      </c>
      <c r="F76" t="s">
        <v>366</v>
      </c>
      <c r="G76" s="6" t="s">
        <v>11</v>
      </c>
      <c r="H76" s="6" t="s">
        <v>21</v>
      </c>
      <c r="I76" s="6" t="s">
        <v>180</v>
      </c>
      <c r="K76" s="6" t="b">
        <v>1</v>
      </c>
      <c r="L76" s="11">
        <f>SUMIFS($D$2:$D76,$E$2:$E76,"2007-2018",$K$2:$K76,TRUE)/auxiliar!$B$3</f>
        <v>0.98441845834377872</v>
      </c>
      <c r="M76" s="11">
        <f>SUMIFS($D$2:$D76,$E$2:$E76,"2019-2024",$K$2:$K76,TRUE)/auxiliar!$B$4</f>
        <v>0</v>
      </c>
    </row>
    <row r="77" spans="1:13" x14ac:dyDescent="0.25">
      <c r="A77" t="s">
        <v>13</v>
      </c>
      <c r="B77" t="s">
        <v>29</v>
      </c>
      <c r="C77" t="s">
        <v>175</v>
      </c>
      <c r="D77" s="3">
        <v>14631.664000000001</v>
      </c>
      <c r="E77" t="s">
        <v>375</v>
      </c>
      <c r="F77" t="s">
        <v>366</v>
      </c>
      <c r="G77" s="6" t="s">
        <v>12</v>
      </c>
      <c r="H77" s="6" t="s">
        <v>28</v>
      </c>
      <c r="I77" s="6" t="s">
        <v>172</v>
      </c>
      <c r="K77" s="6" t="b">
        <v>1</v>
      </c>
      <c r="L77" s="11">
        <f>SUMIFS($D$2:$D77,$E$2:$E77,"2007-2018",$K$2:$K77,TRUE)/auxiliar!$B$3</f>
        <v>0.98466096596024655</v>
      </c>
      <c r="M77" s="11">
        <f>SUMIFS($D$2:$D77,$E$2:$E77,"2019-2024",$K$2:$K77,TRUE)/auxiliar!$B$4</f>
        <v>0</v>
      </c>
    </row>
    <row r="78" spans="1:13" x14ac:dyDescent="0.25">
      <c r="A78" t="s">
        <v>14</v>
      </c>
      <c r="B78" t="s">
        <v>22</v>
      </c>
      <c r="C78" t="s">
        <v>190</v>
      </c>
      <c r="D78" s="3">
        <v>13594.88</v>
      </c>
      <c r="E78" t="s">
        <v>375</v>
      </c>
      <c r="F78" t="s">
        <v>366</v>
      </c>
      <c r="G78" s="6" t="s">
        <v>12</v>
      </c>
      <c r="H78" s="6" t="s">
        <v>23</v>
      </c>
      <c r="I78" s="6" t="s">
        <v>165</v>
      </c>
      <c r="K78" s="6" t="b">
        <v>1</v>
      </c>
      <c r="L78" s="11">
        <f>SUMIFS($D$2:$D78,$E$2:$E78,"2007-2018",$K$2:$K78,TRUE)/auxiliar!$B$3</f>
        <v>0.98488628974740888</v>
      </c>
      <c r="M78" s="11">
        <f>SUMIFS($D$2:$D78,$E$2:$E78,"2019-2024",$K$2:$K78,TRUE)/auxiliar!$B$4</f>
        <v>0</v>
      </c>
    </row>
    <row r="79" spans="1:13" x14ac:dyDescent="0.25">
      <c r="A79" t="s">
        <v>10</v>
      </c>
      <c r="B79" t="s">
        <v>26</v>
      </c>
      <c r="C79" t="s">
        <v>163</v>
      </c>
      <c r="D79" s="3">
        <v>12413.741614073369</v>
      </c>
      <c r="E79" t="s">
        <v>375</v>
      </c>
      <c r="F79" t="s">
        <v>366</v>
      </c>
      <c r="G79" s="6" t="s">
        <v>11</v>
      </c>
      <c r="H79" s="6" t="s">
        <v>21</v>
      </c>
      <c r="I79" s="6" t="s">
        <v>161</v>
      </c>
      <c r="K79" s="6" t="b">
        <v>1</v>
      </c>
      <c r="L79" s="11">
        <f>SUMIFS($D$2:$D79,$E$2:$E79,"2007-2018",$K$2:$K79,TRUE)/auxiliar!$B$3</f>
        <v>0.98509203715182425</v>
      </c>
      <c r="M79" s="11">
        <f>SUMIFS($D$2:$D79,$E$2:$E79,"2019-2024",$K$2:$K79,TRUE)/auxiliar!$B$4</f>
        <v>0</v>
      </c>
    </row>
    <row r="80" spans="1:13" x14ac:dyDescent="0.25">
      <c r="A80" t="s">
        <v>13</v>
      </c>
      <c r="B80" t="s">
        <v>29</v>
      </c>
      <c r="C80" t="s">
        <v>207</v>
      </c>
      <c r="D80" s="3">
        <v>11271.43576131304</v>
      </c>
      <c r="E80" t="s">
        <v>375</v>
      </c>
      <c r="F80" t="s">
        <v>366</v>
      </c>
      <c r="G80" s="6" t="s">
        <v>12</v>
      </c>
      <c r="H80" s="6" t="s">
        <v>28</v>
      </c>
      <c r="I80" s="6" t="s">
        <v>197</v>
      </c>
      <c r="K80" s="6" t="b">
        <v>1</v>
      </c>
      <c r="L80" s="11">
        <f>SUMIFS($D$2:$D80,$E$2:$E80,"2007-2018",$K$2:$K80,TRUE)/auxiliar!$B$3</f>
        <v>0.98527885179031272</v>
      </c>
      <c r="M80" s="11">
        <f>SUMIFS($D$2:$D80,$E$2:$E80,"2019-2024",$K$2:$K80,TRUE)/auxiliar!$B$4</f>
        <v>0</v>
      </c>
    </row>
    <row r="81" spans="1:13" x14ac:dyDescent="0.25">
      <c r="A81" t="s">
        <v>13</v>
      </c>
      <c r="B81" t="s">
        <v>20</v>
      </c>
      <c r="C81" t="s">
        <v>166</v>
      </c>
      <c r="D81" s="3">
        <v>10353.049999999999</v>
      </c>
      <c r="E81" t="s">
        <v>375</v>
      </c>
      <c r="F81" t="s">
        <v>366</v>
      </c>
      <c r="G81" s="6" t="s">
        <v>12</v>
      </c>
      <c r="H81" s="6" t="s">
        <v>18</v>
      </c>
      <c r="I81" s="6" t="s">
        <v>159</v>
      </c>
      <c r="K81" s="6" t="b">
        <v>1</v>
      </c>
      <c r="L81" s="11">
        <f>SUMIFS($D$2:$D81,$E$2:$E81,"2007-2018",$K$2:$K81,TRUE)/auxiliar!$B$3</f>
        <v>0.98545044495146461</v>
      </c>
      <c r="M81" s="11">
        <f>SUMIFS($D$2:$D81,$E$2:$E81,"2019-2024",$K$2:$K81,TRUE)/auxiliar!$B$4</f>
        <v>0</v>
      </c>
    </row>
    <row r="82" spans="1:13" x14ac:dyDescent="0.25">
      <c r="A82" t="s">
        <v>10</v>
      </c>
      <c r="B82" t="s">
        <v>32</v>
      </c>
      <c r="C82" t="s">
        <v>169</v>
      </c>
      <c r="D82" s="3">
        <v>9897.75</v>
      </c>
      <c r="E82" t="s">
        <v>375</v>
      </c>
      <c r="F82" t="s">
        <v>366</v>
      </c>
      <c r="J82" s="10" t="s">
        <v>368</v>
      </c>
      <c r="K82" s="6" t="b">
        <v>0</v>
      </c>
      <c r="L82" s="11">
        <f>SUMIFS($D$2:$D82,$E$2:$E82,"2007-2018",$K$2:$K82,TRUE)/auxiliar!$B$3</f>
        <v>0.98545044495146461</v>
      </c>
      <c r="M82" s="11">
        <f>SUMIFS($D$2:$D82,$E$2:$E82,"2019-2024",$K$2:$K82,TRUE)/auxiliar!$B$4</f>
        <v>0</v>
      </c>
    </row>
    <row r="83" spans="1:13" x14ac:dyDescent="0.25">
      <c r="A83" t="s">
        <v>13</v>
      </c>
      <c r="B83" t="s">
        <v>29</v>
      </c>
      <c r="C83" t="s">
        <v>198</v>
      </c>
      <c r="D83" s="3">
        <v>9506.0400000000009</v>
      </c>
      <c r="E83" t="s">
        <v>375</v>
      </c>
      <c r="F83" t="s">
        <v>366</v>
      </c>
      <c r="G83" s="6" t="s">
        <v>12</v>
      </c>
      <c r="H83" s="6" t="s">
        <v>28</v>
      </c>
      <c r="I83" s="6" t="s">
        <v>196</v>
      </c>
      <c r="K83" s="6" t="b">
        <v>1</v>
      </c>
      <c r="L83" s="11">
        <f>SUMIFS($D$2:$D83,$E$2:$E83,"2007-2018",$K$2:$K83,TRUE)/auxiliar!$B$3</f>
        <v>0.98560799962893997</v>
      </c>
      <c r="M83" s="11">
        <f>SUMIFS($D$2:$D83,$E$2:$E83,"2019-2024",$K$2:$K83,TRUE)/auxiliar!$B$4</f>
        <v>0</v>
      </c>
    </row>
    <row r="84" spans="1:13" x14ac:dyDescent="0.25">
      <c r="A84" t="s">
        <v>10</v>
      </c>
      <c r="B84" t="s">
        <v>25</v>
      </c>
      <c r="C84" t="s">
        <v>215</v>
      </c>
      <c r="D84" s="3">
        <v>7830</v>
      </c>
      <c r="E84" t="s">
        <v>375</v>
      </c>
      <c r="F84" t="s">
        <v>366</v>
      </c>
      <c r="J84" s="10" t="s">
        <v>368</v>
      </c>
      <c r="K84" s="6" t="b">
        <v>0</v>
      </c>
      <c r="L84" s="11">
        <f>SUMIFS($D$2:$D84,$E$2:$E84,"2007-2018",$K$2:$K84,TRUE)/auxiliar!$B$3</f>
        <v>0.98560799962893997</v>
      </c>
      <c r="M84" s="11">
        <f>SUMIFS($D$2:$D84,$E$2:$E84,"2019-2024",$K$2:$K84,TRUE)/auxiliar!$B$4</f>
        <v>0</v>
      </c>
    </row>
    <row r="85" spans="1:13" x14ac:dyDescent="0.25">
      <c r="A85" t="s">
        <v>13</v>
      </c>
      <c r="B85" t="s">
        <v>29</v>
      </c>
      <c r="C85" t="s">
        <v>203</v>
      </c>
      <c r="D85" s="3">
        <v>6714.07</v>
      </c>
      <c r="E85" t="s">
        <v>375</v>
      </c>
      <c r="F85" t="s">
        <v>366</v>
      </c>
      <c r="G85" s="6" t="s">
        <v>12</v>
      </c>
      <c r="H85" s="6" t="s">
        <v>28</v>
      </c>
      <c r="I85" s="6" t="s">
        <v>210</v>
      </c>
      <c r="K85" s="6" t="b">
        <v>1</v>
      </c>
      <c r="L85" s="11">
        <f>SUMIFS($D$2:$D85,$E$2:$E85,"2007-2018",$K$2:$K85,TRUE)/auxiliar!$B$3</f>
        <v>0.98571927973436735</v>
      </c>
      <c r="M85" s="11">
        <f>SUMIFS($D$2:$D85,$E$2:$E85,"2019-2024",$K$2:$K85,TRUE)/auxiliar!$B$4</f>
        <v>0</v>
      </c>
    </row>
    <row r="86" spans="1:13" x14ac:dyDescent="0.25">
      <c r="A86" t="s">
        <v>13</v>
      </c>
      <c r="B86" t="s">
        <v>29</v>
      </c>
      <c r="C86" t="s">
        <v>213</v>
      </c>
      <c r="D86" s="3">
        <v>6659.701</v>
      </c>
      <c r="E86" t="s">
        <v>375</v>
      </c>
      <c r="F86" t="s">
        <v>366</v>
      </c>
      <c r="G86" s="6" t="s">
        <v>12</v>
      </c>
      <c r="H86" s="6" t="s">
        <v>28</v>
      </c>
      <c r="I86" s="6" t="s">
        <v>219</v>
      </c>
      <c r="K86" s="6" t="b">
        <v>1</v>
      </c>
      <c r="L86" s="11">
        <f>SUMIFS($D$2:$D86,$E$2:$E86,"2007-2018",$K$2:$K86,TRUE)/auxiliar!$B$3</f>
        <v>0.9858296587190063</v>
      </c>
      <c r="M86" s="11">
        <f>SUMIFS($D$2:$D86,$E$2:$E86,"2019-2024",$K$2:$K86,TRUE)/auxiliar!$B$4</f>
        <v>0</v>
      </c>
    </row>
    <row r="87" spans="1:13" x14ac:dyDescent="0.25">
      <c r="A87" t="s">
        <v>13</v>
      </c>
      <c r="B87" t="s">
        <v>22</v>
      </c>
      <c r="C87" t="s">
        <v>214</v>
      </c>
      <c r="D87" s="3">
        <v>6510.32</v>
      </c>
      <c r="E87" t="s">
        <v>375</v>
      </c>
      <c r="F87" t="s">
        <v>366</v>
      </c>
      <c r="G87" s="6" t="s">
        <v>12</v>
      </c>
      <c r="H87" s="6" t="s">
        <v>23</v>
      </c>
      <c r="I87" s="6" t="s">
        <v>230</v>
      </c>
      <c r="K87" s="6" t="b">
        <v>1</v>
      </c>
      <c r="L87" s="11">
        <f>SUMIFS($D$2:$D87,$E$2:$E87,"2007-2018",$K$2:$K87,TRUE)/auxiliar!$B$3</f>
        <v>0.98593756183827164</v>
      </c>
      <c r="M87" s="11">
        <f>SUMIFS($D$2:$D87,$E$2:$E87,"2019-2024",$K$2:$K87,TRUE)/auxiliar!$B$4</f>
        <v>0</v>
      </c>
    </row>
    <row r="88" spans="1:13" x14ac:dyDescent="0.25">
      <c r="A88" t="s">
        <v>13</v>
      </c>
      <c r="B88" t="s">
        <v>20</v>
      </c>
      <c r="C88" t="s">
        <v>201</v>
      </c>
      <c r="D88" s="3">
        <v>6127.69</v>
      </c>
      <c r="E88" t="s">
        <v>375</v>
      </c>
      <c r="F88" t="s">
        <v>366</v>
      </c>
      <c r="G88" s="6" t="s">
        <v>12</v>
      </c>
      <c r="H88" s="6" t="s">
        <v>18</v>
      </c>
      <c r="I88" s="6" t="s">
        <v>202</v>
      </c>
      <c r="K88" s="6" t="b">
        <v>1</v>
      </c>
      <c r="L88" s="11">
        <f>SUMIFS($D$2:$D88,$E$2:$E88,"2007-2018",$K$2:$K88,TRUE)/auxiliar!$B$3</f>
        <v>0.98603912318470177</v>
      </c>
      <c r="M88" s="11">
        <f>SUMIFS($D$2:$D88,$E$2:$E88,"2019-2024",$K$2:$K88,TRUE)/auxiliar!$B$4</f>
        <v>0</v>
      </c>
    </row>
    <row r="89" spans="1:13" x14ac:dyDescent="0.25">
      <c r="A89" t="s">
        <v>13</v>
      </c>
      <c r="B89" t="s">
        <v>29</v>
      </c>
      <c r="C89" t="s">
        <v>226</v>
      </c>
      <c r="D89" s="3">
        <v>6119.5625624211116</v>
      </c>
      <c r="E89" t="s">
        <v>375</v>
      </c>
      <c r="F89" t="s">
        <v>366</v>
      </c>
      <c r="G89" s="6" t="s">
        <v>12</v>
      </c>
      <c r="H89" s="6" t="s">
        <v>28</v>
      </c>
      <c r="I89" s="6" t="s">
        <v>228</v>
      </c>
      <c r="K89" s="6" t="b">
        <v>1</v>
      </c>
      <c r="L89" s="11">
        <f>SUMIFS($D$2:$D89,$E$2:$E89,"2007-2018",$K$2:$K89,TRUE)/auxiliar!$B$3</f>
        <v>0.98614054982563881</v>
      </c>
      <c r="M89" s="11">
        <f>SUMIFS($D$2:$D89,$E$2:$E89,"2019-2024",$K$2:$K89,TRUE)/auxiliar!$B$4</f>
        <v>0</v>
      </c>
    </row>
    <row r="90" spans="1:13" x14ac:dyDescent="0.25">
      <c r="A90" t="s">
        <v>10</v>
      </c>
      <c r="B90" t="s">
        <v>32</v>
      </c>
      <c r="C90" t="s">
        <v>32</v>
      </c>
      <c r="D90" s="3">
        <v>6046.3959999999997</v>
      </c>
      <c r="E90" t="s">
        <v>375</v>
      </c>
      <c r="F90" t="s">
        <v>366</v>
      </c>
      <c r="J90" s="10" t="s">
        <v>368</v>
      </c>
      <c r="K90" s="6" t="b">
        <v>0</v>
      </c>
      <c r="L90" s="11">
        <f>SUMIFS($D$2:$D90,$E$2:$E90,"2007-2018",$K$2:$K90,TRUE)/auxiliar!$B$3</f>
        <v>0.98614054982563881</v>
      </c>
      <c r="M90" s="11">
        <f>SUMIFS($D$2:$D90,$E$2:$E90,"2019-2024",$K$2:$K90,TRUE)/auxiliar!$B$4</f>
        <v>0</v>
      </c>
    </row>
    <row r="91" spans="1:13" x14ac:dyDescent="0.25">
      <c r="A91" t="s">
        <v>13</v>
      </c>
      <c r="B91" t="s">
        <v>29</v>
      </c>
      <c r="C91" t="s">
        <v>199</v>
      </c>
      <c r="D91" s="3">
        <v>6006.3313720452898</v>
      </c>
      <c r="E91" t="s">
        <v>375</v>
      </c>
      <c r="F91" t="s">
        <v>366</v>
      </c>
      <c r="G91" s="6" t="s">
        <v>12</v>
      </c>
      <c r="H91" s="6" t="s">
        <v>28</v>
      </c>
      <c r="I91" s="6" t="s">
        <v>208</v>
      </c>
      <c r="K91" s="6" t="b">
        <v>1</v>
      </c>
      <c r="L91" s="11">
        <f>SUMIFS($D$2:$D91,$E$2:$E91,"2007-2018",$K$2:$K91,TRUE)/auxiliar!$B$3</f>
        <v>0.9862400997541193</v>
      </c>
      <c r="M91" s="11">
        <f>SUMIFS($D$2:$D91,$E$2:$E91,"2019-2024",$K$2:$K91,TRUE)/auxiliar!$B$4</f>
        <v>0</v>
      </c>
    </row>
    <row r="92" spans="1:13" x14ac:dyDescent="0.25">
      <c r="A92" t="s">
        <v>10</v>
      </c>
      <c r="B92" t="s">
        <v>34</v>
      </c>
      <c r="C92" t="s">
        <v>186</v>
      </c>
      <c r="D92" s="3">
        <v>5758.7</v>
      </c>
      <c r="E92" t="s">
        <v>375</v>
      </c>
      <c r="F92" t="s">
        <v>366</v>
      </c>
      <c r="G92" s="6" t="s">
        <v>11</v>
      </c>
      <c r="H92" s="6" t="s">
        <v>33</v>
      </c>
      <c r="I92" s="6" t="s">
        <v>185</v>
      </c>
      <c r="K92" s="6" t="b">
        <v>1</v>
      </c>
      <c r="L92" s="11">
        <f>SUMIFS($D$2:$D92,$E$2:$E92,"2007-2018",$K$2:$K92,TRUE)/auxiliar!$B$3</f>
        <v>0.98633554539932777</v>
      </c>
      <c r="M92" s="11">
        <f>SUMIFS($D$2:$D92,$E$2:$E92,"2019-2024",$K$2:$K92,TRUE)/auxiliar!$B$4</f>
        <v>0</v>
      </c>
    </row>
    <row r="93" spans="1:13" x14ac:dyDescent="0.25">
      <c r="A93" t="s">
        <v>13</v>
      </c>
      <c r="B93" t="s">
        <v>29</v>
      </c>
      <c r="C93" t="s">
        <v>212</v>
      </c>
      <c r="D93" s="3">
        <v>5707.9661999999998</v>
      </c>
      <c r="E93" t="s">
        <v>375</v>
      </c>
      <c r="F93" t="s">
        <v>366</v>
      </c>
      <c r="G93" s="6" t="s">
        <v>12</v>
      </c>
      <c r="H93" s="6" t="s">
        <v>28</v>
      </c>
      <c r="I93" s="6" t="s">
        <v>195</v>
      </c>
      <c r="K93" s="6" t="b">
        <v>1</v>
      </c>
      <c r="L93" s="11">
        <f>SUMIFS($D$2:$D93,$E$2:$E93,"2007-2018",$K$2:$K93,TRUE)/auxiliar!$B$3</f>
        <v>0.98643015017415325</v>
      </c>
      <c r="M93" s="11">
        <f>SUMIFS($D$2:$D93,$E$2:$E93,"2019-2024",$K$2:$K93,TRUE)/auxiliar!$B$4</f>
        <v>0</v>
      </c>
    </row>
    <row r="94" spans="1:13" x14ac:dyDescent="0.25">
      <c r="A94" t="s">
        <v>10</v>
      </c>
      <c r="B94" t="s">
        <v>26</v>
      </c>
      <c r="C94" t="s">
        <v>268</v>
      </c>
      <c r="D94" s="3">
        <v>5373.5593172892141</v>
      </c>
      <c r="E94" t="s">
        <v>375</v>
      </c>
      <c r="F94" t="s">
        <v>366</v>
      </c>
      <c r="G94" s="6" t="s">
        <v>11</v>
      </c>
      <c r="H94" s="6" t="s">
        <v>21</v>
      </c>
      <c r="I94" s="6" t="s">
        <v>261</v>
      </c>
      <c r="K94" s="6" t="b">
        <v>1</v>
      </c>
      <c r="L94" s="11">
        <f>SUMIFS($D$2:$D94,$E$2:$E94,"2007-2018",$K$2:$K94,TRUE)/auxiliar!$B$3</f>
        <v>0.98651921243405649</v>
      </c>
      <c r="M94" s="11">
        <f>SUMIFS($D$2:$D94,$E$2:$E94,"2019-2024",$K$2:$K94,TRUE)/auxiliar!$B$4</f>
        <v>0</v>
      </c>
    </row>
    <row r="95" spans="1:13" x14ac:dyDescent="0.25">
      <c r="A95" t="s">
        <v>10</v>
      </c>
      <c r="B95" t="s">
        <v>19</v>
      </c>
      <c r="C95" t="s">
        <v>144</v>
      </c>
      <c r="D95" s="3">
        <v>5152.3</v>
      </c>
      <c r="E95" t="s">
        <v>375</v>
      </c>
      <c r="F95" t="s">
        <v>366</v>
      </c>
      <c r="G95" s="6" t="s">
        <v>10</v>
      </c>
      <c r="H95" s="6" t="s">
        <v>19</v>
      </c>
      <c r="I95" s="6" t="s">
        <v>144</v>
      </c>
      <c r="K95" s="6" t="b">
        <v>1</v>
      </c>
      <c r="L95" s="11">
        <f>SUMIFS($D$2:$D95,$E$2:$E95,"2007-2018",$K$2:$K95,TRUE)/auxiliar!$B$3</f>
        <v>0.98660460750548007</v>
      </c>
      <c r="M95" s="11">
        <f>SUMIFS($D$2:$D95,$E$2:$E95,"2019-2024",$K$2:$K95,TRUE)/auxiliar!$B$4</f>
        <v>0</v>
      </c>
    </row>
    <row r="96" spans="1:13" x14ac:dyDescent="0.25">
      <c r="A96" t="s">
        <v>14</v>
      </c>
      <c r="B96" t="s">
        <v>34</v>
      </c>
      <c r="C96" t="s">
        <v>206</v>
      </c>
      <c r="D96" s="3">
        <v>4954.8999999999996</v>
      </c>
      <c r="E96" t="s">
        <v>375</v>
      </c>
      <c r="F96" t="s">
        <v>366</v>
      </c>
      <c r="G96" s="6" t="s">
        <v>11</v>
      </c>
      <c r="H96" s="6" t="s">
        <v>33</v>
      </c>
      <c r="I96" s="6" t="s">
        <v>179</v>
      </c>
      <c r="K96" s="6" t="b">
        <v>1</v>
      </c>
      <c r="L96" s="11">
        <f>SUMIFS($D$2:$D96,$E$2:$E96,"2007-2018",$K$2:$K96,TRUE)/auxiliar!$B$3</f>
        <v>0.98668673083669078</v>
      </c>
      <c r="M96" s="11">
        <f>SUMIFS($D$2:$D96,$E$2:$E96,"2019-2024",$K$2:$K96,TRUE)/auxiliar!$B$4</f>
        <v>0</v>
      </c>
    </row>
    <row r="97" spans="1:13" x14ac:dyDescent="0.25">
      <c r="A97" t="s">
        <v>10</v>
      </c>
      <c r="B97" t="s">
        <v>26</v>
      </c>
      <c r="C97" t="s">
        <v>209</v>
      </c>
      <c r="D97" s="3">
        <v>4908.2049172080187</v>
      </c>
      <c r="E97" t="s">
        <v>375</v>
      </c>
      <c r="F97" t="s">
        <v>366</v>
      </c>
      <c r="G97" s="6" t="s">
        <v>11</v>
      </c>
      <c r="H97" s="6" t="s">
        <v>21</v>
      </c>
      <c r="I97" s="6" t="s">
        <v>216</v>
      </c>
      <c r="K97" s="6" t="b">
        <v>1</v>
      </c>
      <c r="L97" s="11">
        <f>SUMIFS($D$2:$D97,$E$2:$E97,"2007-2018",$K$2:$K97,TRUE)/auxiliar!$B$3</f>
        <v>0.9867680802358848</v>
      </c>
      <c r="M97" s="11">
        <f>SUMIFS($D$2:$D97,$E$2:$E97,"2019-2024",$K$2:$K97,TRUE)/auxiliar!$B$4</f>
        <v>0</v>
      </c>
    </row>
    <row r="98" spans="1:13" x14ac:dyDescent="0.25">
      <c r="A98" t="s">
        <v>13</v>
      </c>
      <c r="B98" t="s">
        <v>29</v>
      </c>
      <c r="C98" t="s">
        <v>238</v>
      </c>
      <c r="D98" s="3">
        <v>4639.3</v>
      </c>
      <c r="E98" t="s">
        <v>375</v>
      </c>
      <c r="F98" t="s">
        <v>366</v>
      </c>
      <c r="G98" s="6" t="s">
        <v>12</v>
      </c>
      <c r="H98" s="6" t="s">
        <v>28</v>
      </c>
      <c r="I98" s="6" t="s">
        <v>236</v>
      </c>
      <c r="K98" s="6" t="b">
        <v>1</v>
      </c>
      <c r="L98" s="11">
        <f>SUMIFS($D$2:$D98,$E$2:$E98,"2007-2018",$K$2:$K98,TRUE)/auxiliar!$B$3</f>
        <v>0.9868449727605545</v>
      </c>
      <c r="M98" s="11">
        <f>SUMIFS($D$2:$D98,$E$2:$E98,"2019-2024",$K$2:$K98,TRUE)/auxiliar!$B$4</f>
        <v>0</v>
      </c>
    </row>
    <row r="99" spans="1:13" x14ac:dyDescent="0.25">
      <c r="A99" t="s">
        <v>10</v>
      </c>
      <c r="B99" t="s">
        <v>26</v>
      </c>
      <c r="C99" t="s">
        <v>138</v>
      </c>
      <c r="D99" s="3">
        <v>4370.8999999999996</v>
      </c>
      <c r="E99" t="s">
        <v>375</v>
      </c>
      <c r="F99" t="s">
        <v>366</v>
      </c>
      <c r="G99" s="6" t="s">
        <v>11</v>
      </c>
      <c r="H99" s="6" t="s">
        <v>21</v>
      </c>
      <c r="I99" s="6" t="s">
        <v>137</v>
      </c>
      <c r="K99" s="6" t="b">
        <v>1</v>
      </c>
      <c r="L99" s="11">
        <f>SUMIFS($D$2:$D99,$E$2:$E99,"2007-2018",$K$2:$K99,TRUE)/auxiliar!$B$3</f>
        <v>0.98691741677928113</v>
      </c>
      <c r="M99" s="11">
        <f>SUMIFS($D$2:$D99,$E$2:$E99,"2019-2024",$K$2:$K99,TRUE)/auxiliar!$B$4</f>
        <v>0</v>
      </c>
    </row>
    <row r="100" spans="1:13" x14ac:dyDescent="0.25">
      <c r="A100" t="s">
        <v>10</v>
      </c>
      <c r="B100" t="s">
        <v>30</v>
      </c>
      <c r="C100" t="s">
        <v>223</v>
      </c>
      <c r="D100" s="3">
        <v>4321</v>
      </c>
      <c r="E100" t="s">
        <v>375</v>
      </c>
      <c r="F100" t="s">
        <v>366</v>
      </c>
      <c r="G100" s="6" t="s">
        <v>12</v>
      </c>
      <c r="H100" s="6" t="s">
        <v>28</v>
      </c>
      <c r="I100" s="6" t="s">
        <v>194</v>
      </c>
      <c r="J100" s="6" t="s">
        <v>374</v>
      </c>
      <c r="K100" s="6" t="b">
        <v>1</v>
      </c>
      <c r="L100" s="11">
        <f>SUMIFS($D$2:$D100,$E$2:$E100,"2007-2018",$K$2:$K100,TRUE)/auxiliar!$B$3</f>
        <v>0.98698903374716385</v>
      </c>
      <c r="M100" s="11">
        <f>SUMIFS($D$2:$D100,$E$2:$E100,"2019-2024",$K$2:$K100,TRUE)/auxiliar!$B$4</f>
        <v>0</v>
      </c>
    </row>
    <row r="101" spans="1:13" x14ac:dyDescent="0.25">
      <c r="A101" t="s">
        <v>10</v>
      </c>
      <c r="B101" t="s">
        <v>26</v>
      </c>
      <c r="C101" t="s">
        <v>225</v>
      </c>
      <c r="D101" s="3">
        <v>4107.1840585469126</v>
      </c>
      <c r="E101" t="s">
        <v>375</v>
      </c>
      <c r="F101" t="s">
        <v>366</v>
      </c>
      <c r="G101" s="6" t="s">
        <v>11</v>
      </c>
      <c r="H101" s="6" t="s">
        <v>21</v>
      </c>
      <c r="I101" s="6" t="s">
        <v>233</v>
      </c>
      <c r="K101" s="6" t="b">
        <v>1</v>
      </c>
      <c r="L101" s="11">
        <f>SUMIFS($D$2:$D101,$E$2:$E101,"2007-2018",$K$2:$K101,TRUE)/auxiliar!$B$3</f>
        <v>0.98705710689430781</v>
      </c>
      <c r="M101" s="11">
        <f>SUMIFS($D$2:$D101,$E$2:$E101,"2019-2024",$K$2:$K101,TRUE)/auxiliar!$B$4</f>
        <v>0</v>
      </c>
    </row>
    <row r="102" spans="1:13" x14ac:dyDescent="0.25">
      <c r="A102" t="s">
        <v>10</v>
      </c>
      <c r="B102" t="s">
        <v>34</v>
      </c>
      <c r="C102" t="s">
        <v>218</v>
      </c>
      <c r="D102" s="3">
        <v>3945.6147500000002</v>
      </c>
      <c r="E102" t="s">
        <v>375</v>
      </c>
      <c r="F102" t="s">
        <v>366</v>
      </c>
      <c r="G102" s="6" t="s">
        <v>11</v>
      </c>
      <c r="H102" s="6" t="s">
        <v>33</v>
      </c>
      <c r="I102" s="6" t="s">
        <v>211</v>
      </c>
      <c r="K102" s="6" t="b">
        <v>1</v>
      </c>
      <c r="L102" s="11">
        <f>SUMIFS($D$2:$D102,$E$2:$E102,"2007-2018",$K$2:$K102,TRUE)/auxiliar!$B$3</f>
        <v>0.98712250216503861</v>
      </c>
      <c r="M102" s="11">
        <f>SUMIFS($D$2:$D102,$E$2:$E102,"2019-2024",$K$2:$K102,TRUE)/auxiliar!$B$4</f>
        <v>0</v>
      </c>
    </row>
    <row r="103" spans="1:13" x14ac:dyDescent="0.25">
      <c r="A103" t="s">
        <v>10</v>
      </c>
      <c r="B103" t="s">
        <v>34</v>
      </c>
      <c r="C103" t="s">
        <v>274</v>
      </c>
      <c r="D103" s="3">
        <v>3759.7</v>
      </c>
      <c r="E103" t="s">
        <v>375</v>
      </c>
      <c r="F103" t="s">
        <v>366</v>
      </c>
      <c r="G103" s="6" t="s">
        <v>11</v>
      </c>
      <c r="H103" s="6" t="s">
        <v>33</v>
      </c>
      <c r="I103" s="6" t="s">
        <v>262</v>
      </c>
      <c r="K103" s="6" t="b">
        <v>1</v>
      </c>
      <c r="L103" s="11">
        <f>SUMIFS($D$2:$D103,$E$2:$E103,"2007-2018",$K$2:$K103,TRUE)/auxiliar!$B$3</f>
        <v>0.98718481605398756</v>
      </c>
      <c r="M103" s="11">
        <f>SUMIFS($D$2:$D103,$E$2:$E103,"2019-2024",$K$2:$K103,TRUE)/auxiliar!$B$4</f>
        <v>0</v>
      </c>
    </row>
    <row r="104" spans="1:13" x14ac:dyDescent="0.25">
      <c r="A104" t="s">
        <v>10</v>
      </c>
      <c r="B104" t="s">
        <v>26</v>
      </c>
      <c r="C104" t="s">
        <v>240</v>
      </c>
      <c r="D104" s="3">
        <v>3544.6</v>
      </c>
      <c r="E104" t="s">
        <v>375</v>
      </c>
      <c r="F104" t="s">
        <v>366</v>
      </c>
      <c r="G104" s="6" t="s">
        <v>11</v>
      </c>
      <c r="H104" s="6" t="s">
        <v>21</v>
      </c>
      <c r="I104" s="6" t="s">
        <v>232</v>
      </c>
      <c r="K104" s="6" t="b">
        <v>1</v>
      </c>
      <c r="L104" s="11">
        <f>SUMIFS($D$2:$D104,$E$2:$E104,"2007-2018",$K$2:$K104,TRUE)/auxiliar!$B$3</f>
        <v>0.98724356483999931</v>
      </c>
      <c r="M104" s="11">
        <f>SUMIFS($D$2:$D104,$E$2:$E104,"2019-2024",$K$2:$K104,TRUE)/auxiliar!$B$4</f>
        <v>0</v>
      </c>
    </row>
    <row r="105" spans="1:13" x14ac:dyDescent="0.25">
      <c r="A105" t="s">
        <v>10</v>
      </c>
      <c r="B105" t="s">
        <v>26</v>
      </c>
      <c r="C105" t="s">
        <v>217</v>
      </c>
      <c r="D105" s="3">
        <v>3342.9083017608709</v>
      </c>
      <c r="E105" t="s">
        <v>375</v>
      </c>
      <c r="F105" t="s">
        <v>366</v>
      </c>
      <c r="G105" s="6" t="s">
        <v>11</v>
      </c>
      <c r="H105" s="6" t="s">
        <v>21</v>
      </c>
      <c r="I105" s="6" t="s">
        <v>224</v>
      </c>
      <c r="K105" s="6" t="b">
        <v>1</v>
      </c>
      <c r="L105" s="11">
        <f>SUMIFS($D$2:$D105,$E$2:$E105,"2007-2018",$K$2:$K105,TRUE)/auxiliar!$B$3</f>
        <v>0.98729897075448259</v>
      </c>
      <c r="M105" s="11">
        <f>SUMIFS($D$2:$D105,$E$2:$E105,"2019-2024",$K$2:$K105,TRUE)/auxiliar!$B$4</f>
        <v>0</v>
      </c>
    </row>
    <row r="106" spans="1:13" x14ac:dyDescent="0.25">
      <c r="A106" t="s">
        <v>10</v>
      </c>
      <c r="B106" t="s">
        <v>26</v>
      </c>
      <c r="C106" t="s">
        <v>237</v>
      </c>
      <c r="D106" s="3">
        <v>3145.8676348437498</v>
      </c>
      <c r="E106" t="s">
        <v>375</v>
      </c>
      <c r="F106" t="s">
        <v>366</v>
      </c>
      <c r="G106" s="6" t="s">
        <v>11</v>
      </c>
      <c r="H106" s="6" t="s">
        <v>21</v>
      </c>
      <c r="I106" s="6" t="s">
        <v>239</v>
      </c>
      <c r="K106" s="6" t="b">
        <v>1</v>
      </c>
      <c r="L106" s="11">
        <f>SUMIFS($D$2:$D106,$E$2:$E106,"2007-2018",$K$2:$K106,TRUE)/auxiliar!$B$3</f>
        <v>0.98735111088439864</v>
      </c>
      <c r="M106" s="11">
        <f>SUMIFS($D$2:$D106,$E$2:$E106,"2019-2024",$K$2:$K106,TRUE)/auxiliar!$B$4</f>
        <v>0</v>
      </c>
    </row>
    <row r="107" spans="1:13" x14ac:dyDescent="0.25">
      <c r="A107" t="s">
        <v>10</v>
      </c>
      <c r="B107" t="s">
        <v>26</v>
      </c>
      <c r="C107" t="s">
        <v>247</v>
      </c>
      <c r="D107" s="3">
        <v>3094.1</v>
      </c>
      <c r="E107" t="s">
        <v>375</v>
      </c>
      <c r="F107" t="s">
        <v>366</v>
      </c>
      <c r="G107" s="6" t="s">
        <v>11</v>
      </c>
      <c r="H107" s="6" t="s">
        <v>21</v>
      </c>
      <c r="I107" s="6" t="s">
        <v>92</v>
      </c>
      <c r="K107" s="6" t="b">
        <v>1</v>
      </c>
      <c r="L107" s="11">
        <f>SUMIFS($D$2:$D107,$E$2:$E107,"2007-2018",$K$2:$K107,TRUE)/auxiliar!$B$3</f>
        <v>0.98740239300898225</v>
      </c>
      <c r="M107" s="11">
        <f>SUMIFS($D$2:$D107,$E$2:$E107,"2019-2024",$K$2:$K107,TRUE)/auxiliar!$B$4</f>
        <v>0</v>
      </c>
    </row>
    <row r="108" spans="1:13" x14ac:dyDescent="0.25">
      <c r="A108" t="s">
        <v>10</v>
      </c>
      <c r="B108" t="s">
        <v>26</v>
      </c>
      <c r="C108" t="s">
        <v>241</v>
      </c>
      <c r="D108" s="3">
        <v>3076.47</v>
      </c>
      <c r="E108" t="s">
        <v>375</v>
      </c>
      <c r="F108" t="s">
        <v>366</v>
      </c>
      <c r="G108" s="6" t="s">
        <v>11</v>
      </c>
      <c r="H108" s="6" t="s">
        <v>21</v>
      </c>
      <c r="I108" s="6" t="s">
        <v>405</v>
      </c>
      <c r="K108" s="6" t="b">
        <v>1</v>
      </c>
      <c r="L108" s="11">
        <f>SUMIFS($D$2:$D108,$E$2:$E108,"2007-2018",$K$2:$K108,TRUE)/auxiliar!$B$3</f>
        <v>0.98745338293103313</v>
      </c>
      <c r="M108" s="11">
        <f>SUMIFS($D$2:$D108,$E$2:$E108,"2019-2024",$K$2:$K108,TRUE)/auxiliar!$B$4</f>
        <v>0</v>
      </c>
    </row>
    <row r="109" spans="1:13" x14ac:dyDescent="0.25">
      <c r="A109" t="s">
        <v>10</v>
      </c>
      <c r="B109" t="s">
        <v>32</v>
      </c>
      <c r="C109" t="s">
        <v>221</v>
      </c>
      <c r="D109" s="3">
        <v>3068.2</v>
      </c>
      <c r="E109" t="s">
        <v>375</v>
      </c>
      <c r="F109" t="s">
        <v>366</v>
      </c>
      <c r="J109" s="10" t="s">
        <v>368</v>
      </c>
      <c r="K109" s="6" t="b">
        <v>0</v>
      </c>
      <c r="L109" s="11">
        <f>SUMIFS($D$2:$D109,$E$2:$E109,"2007-2018",$K$2:$K109,TRUE)/auxiliar!$B$3</f>
        <v>0.98745338293103313</v>
      </c>
      <c r="M109" s="11">
        <f>SUMIFS($D$2:$D109,$E$2:$E109,"2019-2024",$K$2:$K109,TRUE)/auxiliar!$B$4</f>
        <v>0</v>
      </c>
    </row>
    <row r="110" spans="1:13" x14ac:dyDescent="0.25">
      <c r="A110" t="s">
        <v>13</v>
      </c>
      <c r="B110" t="s">
        <v>34</v>
      </c>
      <c r="C110" t="s">
        <v>231</v>
      </c>
      <c r="D110" s="3">
        <v>3011.0949999999998</v>
      </c>
      <c r="E110" t="s">
        <v>375</v>
      </c>
      <c r="F110" t="s">
        <v>366</v>
      </c>
      <c r="G110" s="6" t="s">
        <v>12</v>
      </c>
      <c r="H110" s="6" t="s">
        <v>33</v>
      </c>
      <c r="I110" s="6" t="s">
        <v>200</v>
      </c>
      <c r="K110" s="6" t="b">
        <v>1</v>
      </c>
      <c r="L110" s="11">
        <f>SUMIFS($D$2:$D110,$E$2:$E110,"2007-2018",$K$2:$K110,TRUE)/auxiliar!$B$3</f>
        <v>0.98750328931703324</v>
      </c>
      <c r="M110" s="11">
        <f>SUMIFS($D$2:$D110,$E$2:$E110,"2019-2024",$K$2:$K110,TRUE)/auxiliar!$B$4</f>
        <v>0</v>
      </c>
    </row>
    <row r="111" spans="1:13" x14ac:dyDescent="0.25">
      <c r="A111" t="s">
        <v>13</v>
      </c>
      <c r="B111" t="s">
        <v>29</v>
      </c>
      <c r="C111" t="s">
        <v>309</v>
      </c>
      <c r="D111" s="3">
        <v>2909.9</v>
      </c>
      <c r="E111" t="s">
        <v>375</v>
      </c>
      <c r="F111" t="s">
        <v>366</v>
      </c>
      <c r="G111" s="6" t="s">
        <v>12</v>
      </c>
      <c r="H111" s="6" t="s">
        <v>28</v>
      </c>
      <c r="I111" s="6" t="s">
        <v>292</v>
      </c>
      <c r="K111" s="6" t="b">
        <v>1</v>
      </c>
      <c r="L111" s="11">
        <f>SUMIFS($D$2:$D111,$E$2:$E111,"2007-2018",$K$2:$K111,TRUE)/auxiliar!$B$3</f>
        <v>0.98755151848038469</v>
      </c>
      <c r="M111" s="11">
        <f>SUMIFS($D$2:$D111,$E$2:$E111,"2019-2024",$K$2:$K111,TRUE)/auxiliar!$B$4</f>
        <v>0</v>
      </c>
    </row>
    <row r="112" spans="1:13" x14ac:dyDescent="0.25">
      <c r="A112" t="s">
        <v>10</v>
      </c>
      <c r="B112" t="s">
        <v>30</v>
      </c>
      <c r="C112" t="s">
        <v>244</v>
      </c>
      <c r="D112" s="3">
        <v>2869</v>
      </c>
      <c r="E112" t="s">
        <v>375</v>
      </c>
      <c r="F112" t="s">
        <v>366</v>
      </c>
      <c r="G112" s="6" t="s">
        <v>11</v>
      </c>
      <c r="H112" s="6" t="s">
        <v>16</v>
      </c>
      <c r="I112" s="6" t="s">
        <v>243</v>
      </c>
      <c r="K112" s="6" t="b">
        <v>1</v>
      </c>
      <c r="L112" s="11">
        <f>SUMIFS($D$2:$D112,$E$2:$E112,"2007-2018",$K$2:$K112,TRUE)/auxiliar!$B$3</f>
        <v>0.98759906976037903</v>
      </c>
      <c r="M112" s="11">
        <f>SUMIFS($D$2:$D112,$E$2:$E112,"2019-2024",$K$2:$K112,TRUE)/auxiliar!$B$4</f>
        <v>0</v>
      </c>
    </row>
    <row r="113" spans="1:13" x14ac:dyDescent="0.25">
      <c r="A113" t="s">
        <v>13</v>
      </c>
      <c r="B113" t="s">
        <v>29</v>
      </c>
      <c r="C113" t="s">
        <v>235</v>
      </c>
      <c r="D113" s="3">
        <v>2849.1762249363478</v>
      </c>
      <c r="E113" t="s">
        <v>375</v>
      </c>
      <c r="F113" t="s">
        <v>366</v>
      </c>
      <c r="G113" s="6" t="s">
        <v>12</v>
      </c>
      <c r="H113" s="6" t="s">
        <v>28</v>
      </c>
      <c r="I113" s="6" t="s">
        <v>194</v>
      </c>
      <c r="K113" s="6" t="b">
        <v>1</v>
      </c>
      <c r="L113" s="11">
        <f>SUMIFS($D$2:$D113,$E$2:$E113,"2007-2018",$K$2:$K113,TRUE)/auxiliar!$B$3</f>
        <v>0.9876462924778503</v>
      </c>
      <c r="M113" s="11">
        <f>SUMIFS($D$2:$D113,$E$2:$E113,"2019-2024",$K$2:$K113,TRUE)/auxiliar!$B$4</f>
        <v>0</v>
      </c>
    </row>
    <row r="114" spans="1:13" x14ac:dyDescent="0.25">
      <c r="A114" t="s">
        <v>10</v>
      </c>
      <c r="B114" t="s">
        <v>26</v>
      </c>
      <c r="C114" t="s">
        <v>222</v>
      </c>
      <c r="D114" s="3">
        <v>2845.343382237535</v>
      </c>
      <c r="E114" t="s">
        <v>375</v>
      </c>
      <c r="F114" t="s">
        <v>366</v>
      </c>
      <c r="J114" s="10" t="s">
        <v>368</v>
      </c>
      <c r="K114" s="6" t="b">
        <v>0</v>
      </c>
      <c r="L114" s="11">
        <f>SUMIFS($D$2:$D114,$E$2:$E114,"2007-2018",$K$2:$K114,TRUE)/auxiliar!$B$3</f>
        <v>0.9876462924778503</v>
      </c>
      <c r="M114" s="11">
        <f>SUMIFS($D$2:$D114,$E$2:$E114,"2019-2024",$K$2:$K114,TRUE)/auxiliar!$B$4</f>
        <v>0</v>
      </c>
    </row>
    <row r="115" spans="1:13" x14ac:dyDescent="0.25">
      <c r="A115" t="s">
        <v>10</v>
      </c>
      <c r="B115" t="s">
        <v>26</v>
      </c>
      <c r="C115" t="s">
        <v>234</v>
      </c>
      <c r="D115" s="3">
        <v>2730.4</v>
      </c>
      <c r="E115" t="s">
        <v>375</v>
      </c>
      <c r="F115" t="s">
        <v>366</v>
      </c>
      <c r="G115" s="6" t="s">
        <v>11</v>
      </c>
      <c r="H115" s="6" t="s">
        <v>21</v>
      </c>
      <c r="I115" s="6" t="s">
        <v>229</v>
      </c>
      <c r="K115" s="6" t="b">
        <v>1</v>
      </c>
      <c r="L115" s="11">
        <f>SUMIFS($D$2:$D115,$E$2:$E115,"2007-2018",$K$2:$K115,TRUE)/auxiliar!$B$3</f>
        <v>0.98769154657854608</v>
      </c>
      <c r="M115" s="11">
        <f>SUMIFS($D$2:$D115,$E$2:$E115,"2019-2024",$K$2:$K115,TRUE)/auxiliar!$B$4</f>
        <v>0</v>
      </c>
    </row>
    <row r="116" spans="1:13" x14ac:dyDescent="0.25">
      <c r="A116" t="s">
        <v>10</v>
      </c>
      <c r="B116" t="s">
        <v>26</v>
      </c>
      <c r="C116" t="s">
        <v>245</v>
      </c>
      <c r="D116" s="3">
        <v>2527.7431666365142</v>
      </c>
      <c r="E116" t="s">
        <v>375</v>
      </c>
      <c r="F116" t="s">
        <v>366</v>
      </c>
      <c r="G116" s="6" t="s">
        <v>11</v>
      </c>
      <c r="H116" s="6" t="s">
        <v>21</v>
      </c>
      <c r="I116" s="6" t="s">
        <v>250</v>
      </c>
      <c r="K116" s="6" t="b">
        <v>1</v>
      </c>
      <c r="L116" s="11">
        <f>SUMIFS($D$2:$D116,$E$2:$E116,"2007-2018",$K$2:$K116,TRUE)/auxiliar!$B$3</f>
        <v>0.98773344181140432</v>
      </c>
      <c r="M116" s="11">
        <f>SUMIFS($D$2:$D116,$E$2:$E116,"2019-2024",$K$2:$K116,TRUE)/auxiliar!$B$4</f>
        <v>0</v>
      </c>
    </row>
    <row r="117" spans="1:13" x14ac:dyDescent="0.25">
      <c r="A117" t="s">
        <v>13</v>
      </c>
      <c r="B117" t="s">
        <v>32</v>
      </c>
      <c r="C117" t="s">
        <v>265</v>
      </c>
      <c r="D117" s="3">
        <v>2479.08</v>
      </c>
      <c r="E117" t="s">
        <v>375</v>
      </c>
      <c r="F117" t="s">
        <v>366</v>
      </c>
      <c r="J117" s="10" t="s">
        <v>368</v>
      </c>
      <c r="K117" s="6" t="b">
        <v>0</v>
      </c>
      <c r="L117" s="11">
        <f>SUMIFS($D$2:$D117,$E$2:$E117,"2007-2018",$K$2:$K117,TRUE)/auxiliar!$B$3</f>
        <v>0.98773344181140432</v>
      </c>
      <c r="M117" s="11">
        <f>SUMIFS($D$2:$D117,$E$2:$E117,"2019-2024",$K$2:$K117,TRUE)/auxiliar!$B$4</f>
        <v>0</v>
      </c>
    </row>
    <row r="118" spans="1:13" x14ac:dyDescent="0.25">
      <c r="A118" t="s">
        <v>13</v>
      </c>
      <c r="B118" t="s">
        <v>34</v>
      </c>
      <c r="C118" t="s">
        <v>285</v>
      </c>
      <c r="D118" s="3">
        <v>2153.7399999999998</v>
      </c>
      <c r="E118" t="s">
        <v>375</v>
      </c>
      <c r="F118" t="s">
        <v>366</v>
      </c>
      <c r="G118" s="6" t="s">
        <v>12</v>
      </c>
      <c r="H118" s="6" t="s">
        <v>33</v>
      </c>
      <c r="I118" s="6" t="s">
        <v>264</v>
      </c>
      <c r="J118" s="10"/>
      <c r="K118" s="6" t="b">
        <v>1</v>
      </c>
      <c r="L118" s="11">
        <f>SUMIFS($D$2:$D118,$E$2:$E118,"2007-2018",$K$2:$K118,TRUE)/auxiliar!$B$3</f>
        <v>0.98776913825398882</v>
      </c>
      <c r="M118" s="11">
        <f>SUMIFS($D$2:$D118,$E$2:$E118,"2019-2024",$K$2:$K118,TRUE)/auxiliar!$B$4</f>
        <v>0</v>
      </c>
    </row>
    <row r="119" spans="1:13" x14ac:dyDescent="0.25">
      <c r="A119" t="s">
        <v>10</v>
      </c>
      <c r="B119" t="s">
        <v>26</v>
      </c>
      <c r="C119" t="s">
        <v>271</v>
      </c>
      <c r="D119" s="3">
        <v>1942</v>
      </c>
      <c r="E119" t="s">
        <v>375</v>
      </c>
      <c r="F119" t="s">
        <v>366</v>
      </c>
      <c r="G119" s="6" t="s">
        <v>11</v>
      </c>
      <c r="H119" s="6" t="s">
        <v>21</v>
      </c>
      <c r="I119" s="6" t="s">
        <v>254</v>
      </c>
      <c r="K119" s="6" t="b">
        <v>1</v>
      </c>
      <c r="L119" s="11">
        <f>SUMIFS($D$2:$D119,$E$2:$E119,"2007-2018",$K$2:$K119,TRUE)/auxiliar!$B$3</f>
        <v>0.98780132528283127</v>
      </c>
      <c r="M119" s="11">
        <f>SUMIFS($D$2:$D119,$E$2:$E119,"2019-2024",$K$2:$K119,TRUE)/auxiliar!$B$4</f>
        <v>0</v>
      </c>
    </row>
    <row r="120" spans="1:13" x14ac:dyDescent="0.25">
      <c r="A120" t="s">
        <v>10</v>
      </c>
      <c r="B120" t="s">
        <v>26</v>
      </c>
      <c r="C120" t="s">
        <v>249</v>
      </c>
      <c r="D120" s="3">
        <v>1795.6</v>
      </c>
      <c r="E120" t="s">
        <v>375</v>
      </c>
      <c r="F120" t="s">
        <v>366</v>
      </c>
      <c r="G120" s="6" t="s">
        <v>11</v>
      </c>
      <c r="H120" s="6" t="s">
        <v>21</v>
      </c>
      <c r="I120" s="6" t="s">
        <v>246</v>
      </c>
      <c r="K120" s="6" t="b">
        <v>1</v>
      </c>
      <c r="L120" s="11">
        <f>SUMIFS($D$2:$D120,$E$2:$E120,"2007-2018",$K$2:$K120,TRUE)/auxiliar!$B$3</f>
        <v>0.98783108585388657</v>
      </c>
      <c r="M120" s="11">
        <f>SUMIFS($D$2:$D120,$E$2:$E120,"2019-2024",$K$2:$K120,TRUE)/auxiliar!$B$4</f>
        <v>0</v>
      </c>
    </row>
    <row r="121" spans="1:13" x14ac:dyDescent="0.25">
      <c r="A121" t="s">
        <v>13</v>
      </c>
      <c r="B121" t="s">
        <v>29</v>
      </c>
      <c r="C121" t="s">
        <v>286</v>
      </c>
      <c r="D121" s="3">
        <v>1793</v>
      </c>
      <c r="E121" t="s">
        <v>375</v>
      </c>
      <c r="F121" t="s">
        <v>366</v>
      </c>
      <c r="G121" s="6" t="s">
        <v>12</v>
      </c>
      <c r="H121" s="6" t="s">
        <v>28</v>
      </c>
      <c r="I121" s="6" t="s">
        <v>276</v>
      </c>
      <c r="K121" s="6" t="b">
        <v>1</v>
      </c>
      <c r="L121" s="11">
        <f>SUMIFS($D$2:$D121,$E$2:$E121,"2007-2018",$K$2:$K121,TRUE)/auxiliar!$B$3</f>
        <v>0.98786080333211235</v>
      </c>
      <c r="M121" s="11">
        <f>SUMIFS($D$2:$D121,$E$2:$E121,"2019-2024",$K$2:$K121,TRUE)/auxiliar!$B$4</f>
        <v>0</v>
      </c>
    </row>
    <row r="122" spans="1:13" x14ac:dyDescent="0.25">
      <c r="A122" t="s">
        <v>13</v>
      </c>
      <c r="B122" t="s">
        <v>29</v>
      </c>
      <c r="C122" t="s">
        <v>259</v>
      </c>
      <c r="D122" s="3">
        <v>1759.5908209262341</v>
      </c>
      <c r="E122" t="s">
        <v>375</v>
      </c>
      <c r="F122" t="s">
        <v>366</v>
      </c>
      <c r="G122" s="6" t="s">
        <v>12</v>
      </c>
      <c r="H122" s="6" t="s">
        <v>28</v>
      </c>
      <c r="I122" s="6" t="s">
        <v>248</v>
      </c>
      <c r="K122" s="6" t="b">
        <v>1</v>
      </c>
      <c r="L122" s="11">
        <f>SUMIFS($D$2:$D122,$E$2:$E122,"2007-2018",$K$2:$K122,TRUE)/auxiliar!$B$3</f>
        <v>0.98788996708108456</v>
      </c>
      <c r="M122" s="11">
        <f>SUMIFS($D$2:$D122,$E$2:$E122,"2019-2024",$K$2:$K122,TRUE)/auxiliar!$B$4</f>
        <v>0</v>
      </c>
    </row>
    <row r="123" spans="1:13" x14ac:dyDescent="0.25">
      <c r="A123" t="s">
        <v>10</v>
      </c>
      <c r="B123" t="s">
        <v>34</v>
      </c>
      <c r="C123" t="s">
        <v>231</v>
      </c>
      <c r="D123" s="3">
        <v>1457.5</v>
      </c>
      <c r="E123" t="s">
        <v>375</v>
      </c>
      <c r="F123" t="s">
        <v>366</v>
      </c>
      <c r="G123" s="6" t="s">
        <v>12</v>
      </c>
      <c r="H123" s="6" t="s">
        <v>33</v>
      </c>
      <c r="I123" s="6" t="s">
        <v>200</v>
      </c>
      <c r="J123" s="10"/>
      <c r="K123" s="6" t="b">
        <v>1</v>
      </c>
      <c r="L123" s="11">
        <f>SUMIFS($D$2:$D123,$E$2:$E123,"2007-2018",$K$2:$K123,TRUE)/auxiliar!$B$3</f>
        <v>0.98791412392688149</v>
      </c>
      <c r="M123" s="11">
        <f>SUMIFS($D$2:$D123,$E$2:$E123,"2019-2024",$K$2:$K123,TRUE)/auxiliar!$B$4</f>
        <v>0</v>
      </c>
    </row>
    <row r="124" spans="1:13" x14ac:dyDescent="0.25">
      <c r="A124" t="s">
        <v>10</v>
      </c>
      <c r="B124" t="s">
        <v>32</v>
      </c>
      <c r="C124" t="s">
        <v>251</v>
      </c>
      <c r="D124" s="3">
        <v>1424.53</v>
      </c>
      <c r="E124" t="s">
        <v>375</v>
      </c>
      <c r="F124" t="s">
        <v>366</v>
      </c>
      <c r="J124" s="10" t="s">
        <v>368</v>
      </c>
      <c r="K124" s="6" t="b">
        <v>0</v>
      </c>
      <c r="L124" s="11">
        <f>SUMIFS($D$2:$D124,$E$2:$E124,"2007-2018",$K$2:$K124,TRUE)/auxiliar!$B$3</f>
        <v>0.98791412392688149</v>
      </c>
      <c r="M124" s="11">
        <f>SUMIFS($D$2:$D124,$E$2:$E124,"2019-2024",$K$2:$K124,TRUE)/auxiliar!$B$4</f>
        <v>0</v>
      </c>
    </row>
    <row r="125" spans="1:13" x14ac:dyDescent="0.25">
      <c r="A125" t="s">
        <v>10</v>
      </c>
      <c r="B125" t="s">
        <v>26</v>
      </c>
      <c r="C125" t="s">
        <v>260</v>
      </c>
      <c r="D125" s="3">
        <v>1359.04</v>
      </c>
      <c r="E125" t="s">
        <v>375</v>
      </c>
      <c r="F125" t="s">
        <v>366</v>
      </c>
      <c r="G125" s="6" t="s">
        <v>11</v>
      </c>
      <c r="H125" s="6" t="s">
        <v>21</v>
      </c>
      <c r="I125" s="6" t="s">
        <v>255</v>
      </c>
      <c r="K125" s="6" t="b">
        <v>1</v>
      </c>
      <c r="L125" s="11">
        <f>SUMIFS($D$2:$D125,$E$2:$E125,"2007-2018",$K$2:$K125,TRUE)/auxiliar!$B$3</f>
        <v>0.9879366488803718</v>
      </c>
      <c r="M125" s="11">
        <f>SUMIFS($D$2:$D125,$E$2:$E125,"2019-2024",$K$2:$K125,TRUE)/auxiliar!$B$4</f>
        <v>0</v>
      </c>
    </row>
    <row r="126" spans="1:13" x14ac:dyDescent="0.25">
      <c r="A126" t="s">
        <v>10</v>
      </c>
      <c r="B126" t="s">
        <v>26</v>
      </c>
      <c r="C126" t="s">
        <v>273</v>
      </c>
      <c r="D126" s="3">
        <v>1339.074342173767</v>
      </c>
      <c r="E126" t="s">
        <v>375</v>
      </c>
      <c r="F126" t="s">
        <v>366</v>
      </c>
      <c r="G126" s="6" t="s">
        <v>11</v>
      </c>
      <c r="H126" s="6" t="s">
        <v>21</v>
      </c>
      <c r="I126" s="6" t="s">
        <v>270</v>
      </c>
      <c r="K126" s="6" t="b">
        <v>1</v>
      </c>
      <c r="L126" s="11">
        <f>SUMIFS($D$2:$D126,$E$2:$E126,"2007-2018",$K$2:$K126,TRUE)/auxiliar!$B$3</f>
        <v>0.98795884291975067</v>
      </c>
      <c r="M126" s="11">
        <f>SUMIFS($D$2:$D126,$E$2:$E126,"2019-2024",$K$2:$K126,TRUE)/auxiliar!$B$4</f>
        <v>0</v>
      </c>
    </row>
    <row r="127" spans="1:13" x14ac:dyDescent="0.25">
      <c r="A127" t="s">
        <v>10</v>
      </c>
      <c r="B127" t="s">
        <v>32</v>
      </c>
      <c r="C127" t="s">
        <v>293</v>
      </c>
      <c r="D127" s="3">
        <v>1330.55</v>
      </c>
      <c r="E127" t="s">
        <v>375</v>
      </c>
      <c r="F127" t="s">
        <v>366</v>
      </c>
      <c r="J127" s="10" t="s">
        <v>368</v>
      </c>
      <c r="K127" s="6" t="b">
        <v>0</v>
      </c>
      <c r="L127" s="11">
        <f>SUMIFS($D$2:$D127,$E$2:$E127,"2007-2018",$K$2:$K127,TRUE)/auxiliar!$B$3</f>
        <v>0.98795884291975067</v>
      </c>
      <c r="M127" s="11">
        <f>SUMIFS($D$2:$D127,$E$2:$E127,"2019-2024",$K$2:$K127,TRUE)/auxiliar!$B$4</f>
        <v>0</v>
      </c>
    </row>
    <row r="128" spans="1:13" x14ac:dyDescent="0.25">
      <c r="A128" t="s">
        <v>13</v>
      </c>
      <c r="B128" t="s">
        <v>22</v>
      </c>
      <c r="C128" t="s">
        <v>278</v>
      </c>
      <c r="D128" s="3">
        <v>1328.3395499999999</v>
      </c>
      <c r="E128" t="s">
        <v>375</v>
      </c>
      <c r="F128" t="s">
        <v>366</v>
      </c>
      <c r="G128" s="6" t="s">
        <v>12</v>
      </c>
      <c r="H128" s="6" t="s">
        <v>28</v>
      </c>
      <c r="I128" s="6" t="s">
        <v>258</v>
      </c>
      <c r="K128" s="6" t="b">
        <v>1</v>
      </c>
      <c r="L128" s="11">
        <f>SUMIFS($D$2:$D128,$E$2:$E128,"2007-2018",$K$2:$K128,TRUE)/auxiliar!$B$3</f>
        <v>0.98798085903891053</v>
      </c>
      <c r="M128" s="11">
        <f>SUMIFS($D$2:$D128,$E$2:$E128,"2019-2024",$K$2:$K128,TRUE)/auxiliar!$B$4</f>
        <v>0</v>
      </c>
    </row>
    <row r="129" spans="1:13" x14ac:dyDescent="0.25">
      <c r="A129" t="s">
        <v>13</v>
      </c>
      <c r="B129" t="s">
        <v>32</v>
      </c>
      <c r="C129" t="s">
        <v>32</v>
      </c>
      <c r="D129" s="3">
        <v>1282.8</v>
      </c>
      <c r="E129" t="s">
        <v>375</v>
      </c>
      <c r="F129" t="s">
        <v>366</v>
      </c>
      <c r="J129" s="10" t="s">
        <v>368</v>
      </c>
      <c r="K129" s="6" t="b">
        <v>0</v>
      </c>
      <c r="L129" s="11">
        <f>SUMIFS($D$2:$D129,$E$2:$E129,"2007-2018",$K$2:$K129,TRUE)/auxiliar!$B$3</f>
        <v>0.98798085903891053</v>
      </c>
      <c r="M129" s="11">
        <f>SUMIFS($D$2:$D129,$E$2:$E129,"2019-2024",$K$2:$K129,TRUE)/auxiliar!$B$4</f>
        <v>0</v>
      </c>
    </row>
    <row r="130" spans="1:13" x14ac:dyDescent="0.25">
      <c r="A130" t="s">
        <v>10</v>
      </c>
      <c r="B130" t="s">
        <v>26</v>
      </c>
      <c r="C130" t="s">
        <v>306</v>
      </c>
      <c r="D130" s="3">
        <v>1232.05</v>
      </c>
      <c r="E130" t="s">
        <v>375</v>
      </c>
      <c r="F130" t="s">
        <v>366</v>
      </c>
      <c r="G130" s="6" t="s">
        <v>11</v>
      </c>
      <c r="H130" s="6" t="s">
        <v>21</v>
      </c>
      <c r="I130" s="6" t="s">
        <v>307</v>
      </c>
      <c r="K130" s="6" t="b">
        <v>1</v>
      </c>
      <c r="L130" s="11">
        <f>SUMIFS($D$2:$D130,$E$2:$E130,"2007-2018",$K$2:$K130,TRUE)/auxiliar!$B$3</f>
        <v>0.98800127923916037</v>
      </c>
      <c r="M130" s="11">
        <f>SUMIFS($D$2:$D130,$E$2:$E130,"2019-2024",$K$2:$K130,TRUE)/auxiliar!$B$4</f>
        <v>0</v>
      </c>
    </row>
    <row r="131" spans="1:13" x14ac:dyDescent="0.25">
      <c r="A131" t="s">
        <v>10</v>
      </c>
      <c r="B131" t="s">
        <v>26</v>
      </c>
      <c r="C131" t="s">
        <v>327</v>
      </c>
      <c r="D131" s="3">
        <v>1203.8150000000001</v>
      </c>
      <c r="E131" t="s">
        <v>375</v>
      </c>
      <c r="F131" t="s">
        <v>366</v>
      </c>
      <c r="G131" s="6" t="s">
        <v>11</v>
      </c>
      <c r="H131" s="6" t="s">
        <v>21</v>
      </c>
      <c r="I131" s="6" t="s">
        <v>334</v>
      </c>
      <c r="K131" s="6" t="b">
        <v>1</v>
      </c>
      <c r="L131" s="11">
        <f>SUMIFS($D$2:$D131,$E$2:$E131,"2007-2018",$K$2:$K131,TRUE)/auxiliar!$B$3</f>
        <v>0.98802123146785548</v>
      </c>
      <c r="M131" s="11">
        <f>SUMIFS($D$2:$D131,$E$2:$E131,"2019-2024",$K$2:$K131,TRUE)/auxiliar!$B$4</f>
        <v>0</v>
      </c>
    </row>
    <row r="132" spans="1:13" x14ac:dyDescent="0.25">
      <c r="A132" t="s">
        <v>10</v>
      </c>
      <c r="B132" t="s">
        <v>26</v>
      </c>
      <c r="C132" t="s">
        <v>205</v>
      </c>
      <c r="D132" s="3">
        <v>1193.2</v>
      </c>
      <c r="E132" t="s">
        <v>375</v>
      </c>
      <c r="F132" t="s">
        <v>366</v>
      </c>
      <c r="G132" s="6" t="s">
        <v>11</v>
      </c>
      <c r="H132" s="6" t="s">
        <v>21</v>
      </c>
      <c r="I132" s="6" t="s">
        <v>204</v>
      </c>
      <c r="K132" s="6" t="b">
        <v>1</v>
      </c>
      <c r="L132" s="11">
        <f>SUMIFS($D$2:$D132,$E$2:$E132,"2007-2018",$K$2:$K132,TRUE)/auxiliar!$B$3</f>
        <v>0.98804100776178683</v>
      </c>
      <c r="M132" s="11">
        <f>SUMIFS($D$2:$D132,$E$2:$E132,"2019-2024",$K$2:$K132,TRUE)/auxiliar!$B$4</f>
        <v>0</v>
      </c>
    </row>
    <row r="133" spans="1:13" x14ac:dyDescent="0.25">
      <c r="A133" t="s">
        <v>10</v>
      </c>
      <c r="B133" t="s">
        <v>32</v>
      </c>
      <c r="C133" t="s">
        <v>314</v>
      </c>
      <c r="D133" s="3">
        <v>1073.7</v>
      </c>
      <c r="E133" t="s">
        <v>375</v>
      </c>
      <c r="F133" t="s">
        <v>366</v>
      </c>
      <c r="J133" s="10" t="s">
        <v>368</v>
      </c>
      <c r="K133" s="6" t="b">
        <v>0</v>
      </c>
      <c r="L133" s="11">
        <f>SUMIFS($D$2:$D133,$E$2:$E133,"2007-2018",$K$2:$K133,TRUE)/auxiliar!$B$3</f>
        <v>0.98804100776178683</v>
      </c>
      <c r="M133" s="11">
        <f>SUMIFS($D$2:$D133,$E$2:$E133,"2019-2024",$K$2:$K133,TRUE)/auxiliar!$B$4</f>
        <v>0</v>
      </c>
    </row>
    <row r="134" spans="1:13" x14ac:dyDescent="0.25">
      <c r="A134" t="s">
        <v>10</v>
      </c>
      <c r="B134" t="s">
        <v>34</v>
      </c>
      <c r="C134" t="s">
        <v>266</v>
      </c>
      <c r="D134" s="3">
        <v>1072.97</v>
      </c>
      <c r="E134" t="s">
        <v>375</v>
      </c>
      <c r="F134" t="s">
        <v>366</v>
      </c>
      <c r="G134" s="6" t="s">
        <v>11</v>
      </c>
      <c r="H134" s="6" t="s">
        <v>33</v>
      </c>
      <c r="I134" s="6" t="s">
        <v>263</v>
      </c>
      <c r="K134" s="6" t="b">
        <v>1</v>
      </c>
      <c r="L134" s="11">
        <f>SUMIFS($D$2:$D134,$E$2:$E134,"2007-2018",$K$2:$K134,TRUE)/auxiliar!$B$3</f>
        <v>0.98805879134383479</v>
      </c>
      <c r="M134" s="11">
        <f>SUMIFS($D$2:$D134,$E$2:$E134,"2019-2024",$K$2:$K134,TRUE)/auxiliar!$B$4</f>
        <v>0</v>
      </c>
    </row>
    <row r="135" spans="1:13" x14ac:dyDescent="0.25">
      <c r="A135" t="s">
        <v>13</v>
      </c>
      <c r="B135" t="s">
        <v>25</v>
      </c>
      <c r="C135" t="s">
        <v>283</v>
      </c>
      <c r="D135" s="3">
        <v>971.6</v>
      </c>
      <c r="E135" t="s">
        <v>375</v>
      </c>
      <c r="F135" t="s">
        <v>366</v>
      </c>
      <c r="G135" s="6" t="s">
        <v>12</v>
      </c>
      <c r="H135" s="6" t="s">
        <v>24</v>
      </c>
      <c r="I135" s="6" t="s">
        <v>282</v>
      </c>
      <c r="K135" s="6" t="b">
        <v>1</v>
      </c>
      <c r="L135" s="11">
        <f>SUMIFS($D$2:$D135,$E$2:$E135,"2007-2018",$K$2:$K135,TRUE)/auxiliar!$B$3</f>
        <v>0.98807489480275512</v>
      </c>
      <c r="M135" s="11">
        <f>SUMIFS($D$2:$D135,$E$2:$E135,"2019-2024",$K$2:$K135,TRUE)/auxiliar!$B$4</f>
        <v>0</v>
      </c>
    </row>
    <row r="136" spans="1:13" x14ac:dyDescent="0.25">
      <c r="A136" t="s">
        <v>10</v>
      </c>
      <c r="B136" t="s">
        <v>19</v>
      </c>
      <c r="C136" t="s">
        <v>343</v>
      </c>
      <c r="D136" s="3">
        <v>926</v>
      </c>
      <c r="E136" t="s">
        <v>375</v>
      </c>
      <c r="F136" t="s">
        <v>366</v>
      </c>
      <c r="G136" s="6" t="s">
        <v>11</v>
      </c>
      <c r="H136" s="6" t="s">
        <v>17</v>
      </c>
      <c r="I136" s="6" t="s">
        <v>281</v>
      </c>
      <c r="K136" s="6" t="b">
        <v>1</v>
      </c>
      <c r="L136" s="11">
        <f>SUMIFS($D$2:$D136,$E$2:$E136,"2007-2018",$K$2:$K136,TRUE)/auxiliar!$B$3</f>
        <v>0.98809024247974175</v>
      </c>
      <c r="M136" s="11">
        <f>SUMIFS($D$2:$D136,$E$2:$E136,"2019-2024",$K$2:$K136,TRUE)/auxiliar!$B$4</f>
        <v>0</v>
      </c>
    </row>
    <row r="137" spans="1:13" x14ac:dyDescent="0.25">
      <c r="A137" t="s">
        <v>10</v>
      </c>
      <c r="B137" t="s">
        <v>26</v>
      </c>
      <c r="C137" t="s">
        <v>311</v>
      </c>
      <c r="D137" s="3">
        <v>919.5</v>
      </c>
      <c r="E137" t="s">
        <v>375</v>
      </c>
      <c r="F137" t="s">
        <v>366</v>
      </c>
      <c r="G137" s="6" t="s">
        <v>11</v>
      </c>
      <c r="H137" s="6" t="s">
        <v>21</v>
      </c>
      <c r="I137" s="6" t="s">
        <v>291</v>
      </c>
      <c r="K137" s="6" t="b">
        <v>1</v>
      </c>
      <c r="L137" s="11">
        <f>SUMIFS($D$2:$D137,$E$2:$E137,"2007-2018",$K$2:$K137,TRUE)/auxiliar!$B$3</f>
        <v>0.98810548242465457</v>
      </c>
      <c r="M137" s="11">
        <f>SUMIFS($D$2:$D137,$E$2:$E137,"2019-2024",$K$2:$K137,TRUE)/auxiliar!$B$4</f>
        <v>0</v>
      </c>
    </row>
    <row r="138" spans="1:13" x14ac:dyDescent="0.25">
      <c r="A138" t="s">
        <v>13</v>
      </c>
      <c r="B138" t="s">
        <v>29</v>
      </c>
      <c r="C138" t="s">
        <v>252</v>
      </c>
      <c r="D138" s="3">
        <v>872.9</v>
      </c>
      <c r="E138" t="s">
        <v>375</v>
      </c>
      <c r="F138" t="s">
        <v>366</v>
      </c>
      <c r="G138" s="6" t="s">
        <v>12</v>
      </c>
      <c r="H138" s="6" t="s">
        <v>28</v>
      </c>
      <c r="I138" s="6" t="s">
        <v>194</v>
      </c>
      <c r="K138" s="6" t="b">
        <v>1</v>
      </c>
      <c r="L138" s="11">
        <f>SUMIFS($D$2:$D138,$E$2:$E138,"2007-2018",$K$2:$K138,TRUE)/auxiliar!$B$3</f>
        <v>0.98811995001346842</v>
      </c>
      <c r="M138" s="11">
        <f>SUMIFS($D$2:$D138,$E$2:$E138,"2019-2024",$K$2:$K138,TRUE)/auxiliar!$B$4</f>
        <v>0</v>
      </c>
    </row>
    <row r="139" spans="1:13" x14ac:dyDescent="0.25">
      <c r="A139" t="s">
        <v>13</v>
      </c>
      <c r="B139" t="s">
        <v>32</v>
      </c>
      <c r="C139" t="s">
        <v>304</v>
      </c>
      <c r="D139" s="3">
        <v>862.5</v>
      </c>
      <c r="E139" t="s">
        <v>375</v>
      </c>
      <c r="F139" t="s">
        <v>366</v>
      </c>
      <c r="J139" s="10" t="s">
        <v>368</v>
      </c>
      <c r="K139" s="6" t="b">
        <v>0</v>
      </c>
      <c r="L139" s="11">
        <f>SUMIFS($D$2:$D139,$E$2:$E139,"2007-2018",$K$2:$K139,TRUE)/auxiliar!$B$3</f>
        <v>0.98811995001346842</v>
      </c>
      <c r="M139" s="11">
        <f>SUMIFS($D$2:$D139,$E$2:$E139,"2019-2024",$K$2:$K139,TRUE)/auxiliar!$B$4</f>
        <v>0</v>
      </c>
    </row>
    <row r="140" spans="1:13" x14ac:dyDescent="0.25">
      <c r="A140" t="s">
        <v>13</v>
      </c>
      <c r="B140" t="s">
        <v>34</v>
      </c>
      <c r="C140" t="s">
        <v>267</v>
      </c>
      <c r="D140" s="3">
        <v>833.1</v>
      </c>
      <c r="E140" t="s">
        <v>375</v>
      </c>
      <c r="F140" t="s">
        <v>366</v>
      </c>
      <c r="G140" s="6" t="s">
        <v>11</v>
      </c>
      <c r="H140" s="6" t="s">
        <v>33</v>
      </c>
      <c r="I140" s="6" t="s">
        <v>220</v>
      </c>
      <c r="K140" s="6" t="b">
        <v>1</v>
      </c>
      <c r="L140" s="11">
        <f>SUMIFS($D$2:$D140,$E$2:$E140,"2007-2018",$K$2:$K140,TRUE)/auxiliar!$B$3</f>
        <v>0.98813375795050684</v>
      </c>
      <c r="M140" s="11">
        <f>SUMIFS($D$2:$D140,$E$2:$E140,"2019-2024",$K$2:$K140,TRUE)/auxiliar!$B$4</f>
        <v>0</v>
      </c>
    </row>
    <row r="141" spans="1:13" x14ac:dyDescent="0.25">
      <c r="A141" t="s">
        <v>10</v>
      </c>
      <c r="B141" t="s">
        <v>32</v>
      </c>
      <c r="C141" t="s">
        <v>284</v>
      </c>
      <c r="D141" s="3">
        <v>777.85</v>
      </c>
      <c r="E141" t="s">
        <v>375</v>
      </c>
      <c r="F141" t="s">
        <v>366</v>
      </c>
      <c r="J141" s="10" t="s">
        <v>368</v>
      </c>
      <c r="K141" s="6" t="b">
        <v>0</v>
      </c>
      <c r="L141" s="11">
        <f>SUMIFS($D$2:$D141,$E$2:$E141,"2007-2018",$K$2:$K141,TRUE)/auxiliar!$B$3</f>
        <v>0.98813375795050684</v>
      </c>
      <c r="M141" s="11">
        <f>SUMIFS($D$2:$D141,$E$2:$E141,"2019-2024",$K$2:$K141,TRUE)/auxiliar!$B$4</f>
        <v>0</v>
      </c>
    </row>
    <row r="142" spans="1:13" x14ac:dyDescent="0.25">
      <c r="A142" t="s">
        <v>10</v>
      </c>
      <c r="B142" t="s">
        <v>26</v>
      </c>
      <c r="C142" t="s">
        <v>299</v>
      </c>
      <c r="D142" s="3">
        <v>742.22</v>
      </c>
      <c r="E142" t="s">
        <v>375</v>
      </c>
      <c r="F142" t="s">
        <v>366</v>
      </c>
      <c r="G142" s="6" t="s">
        <v>11</v>
      </c>
      <c r="H142" s="6" t="s">
        <v>21</v>
      </c>
      <c r="I142" s="6" t="s">
        <v>277</v>
      </c>
      <c r="K142" s="6" t="b">
        <v>1</v>
      </c>
      <c r="L142" s="11">
        <f>SUMIFS($D$2:$D142,$E$2:$E142,"2007-2018",$K$2:$K142,TRUE)/auxiliar!$B$3</f>
        <v>0.98814605962741076</v>
      </c>
      <c r="M142" s="11">
        <f>SUMIFS($D$2:$D142,$E$2:$E142,"2019-2024",$K$2:$K142,TRUE)/auxiliar!$B$4</f>
        <v>0</v>
      </c>
    </row>
    <row r="143" spans="1:13" x14ac:dyDescent="0.25">
      <c r="A143" t="s">
        <v>10</v>
      </c>
      <c r="B143" t="s">
        <v>26</v>
      </c>
      <c r="C143" t="s">
        <v>317</v>
      </c>
      <c r="D143" s="3">
        <v>722</v>
      </c>
      <c r="E143" t="s">
        <v>375</v>
      </c>
      <c r="F143" t="s">
        <v>366</v>
      </c>
      <c r="G143" s="6" t="s">
        <v>11</v>
      </c>
      <c r="H143" s="6" t="s">
        <v>21</v>
      </c>
      <c r="I143" s="6" t="s">
        <v>315</v>
      </c>
      <c r="K143" s="6" t="b">
        <v>1</v>
      </c>
      <c r="L143" s="11">
        <f>SUMIFS($D$2:$D143,$E$2:$E143,"2007-2018",$K$2:$K143,TRUE)/auxiliar!$B$3</f>
        <v>0.98815802617469406</v>
      </c>
      <c r="M143" s="11">
        <f>SUMIFS($D$2:$D143,$E$2:$E143,"2019-2024",$K$2:$K143,TRUE)/auxiliar!$B$4</f>
        <v>0</v>
      </c>
    </row>
    <row r="144" spans="1:13" x14ac:dyDescent="0.25">
      <c r="A144" t="s">
        <v>14</v>
      </c>
      <c r="B144" t="s">
        <v>29</v>
      </c>
      <c r="C144" t="s">
        <v>130</v>
      </c>
      <c r="D144" s="3">
        <v>707.95</v>
      </c>
      <c r="E144" t="s">
        <v>375</v>
      </c>
      <c r="F144" t="s">
        <v>366</v>
      </c>
      <c r="G144" s="9" t="s">
        <v>12</v>
      </c>
      <c r="H144" s="9" t="s">
        <v>28</v>
      </c>
      <c r="I144" s="9" t="s">
        <v>133</v>
      </c>
      <c r="J144" s="9"/>
      <c r="K144" s="6" t="b">
        <v>1</v>
      </c>
      <c r="L144" s="11">
        <f>SUMIFS($D$2:$D144,$E$2:$E144,"2007-2018",$K$2:$K144,TRUE)/auxiliar!$B$3</f>
        <v>0.98816975985495625</v>
      </c>
      <c r="M144" s="11">
        <f>SUMIFS($D$2:$D144,$E$2:$E144,"2019-2024",$K$2:$K144,TRUE)/auxiliar!$B$4</f>
        <v>0</v>
      </c>
    </row>
    <row r="145" spans="1:13" x14ac:dyDescent="0.25">
      <c r="A145" t="s">
        <v>10</v>
      </c>
      <c r="B145" t="s">
        <v>34</v>
      </c>
      <c r="C145" t="s">
        <v>289</v>
      </c>
      <c r="D145" s="3">
        <v>683.3</v>
      </c>
      <c r="E145" t="s">
        <v>375</v>
      </c>
      <c r="F145" t="s">
        <v>366</v>
      </c>
      <c r="G145" s="6" t="s">
        <v>11</v>
      </c>
      <c r="H145" s="6" t="s">
        <v>33</v>
      </c>
      <c r="I145" s="6" t="s">
        <v>287</v>
      </c>
      <c r="K145" s="6" t="b">
        <v>1</v>
      </c>
      <c r="L145" s="11">
        <f>SUMIFS($D$2:$D145,$E$2:$E145,"2007-2018",$K$2:$K145,TRUE)/auxiliar!$B$3</f>
        <v>0.98818108498204582</v>
      </c>
      <c r="M145" s="11">
        <f>SUMIFS($D$2:$D145,$E$2:$E145,"2019-2024",$K$2:$K145,TRUE)/auxiliar!$B$4</f>
        <v>0</v>
      </c>
    </row>
    <row r="146" spans="1:13" x14ac:dyDescent="0.25">
      <c r="A146" t="s">
        <v>10</v>
      </c>
      <c r="B146" t="s">
        <v>32</v>
      </c>
      <c r="C146" t="s">
        <v>253</v>
      </c>
      <c r="D146" s="3">
        <v>629.5</v>
      </c>
      <c r="E146" t="s">
        <v>375</v>
      </c>
      <c r="F146" t="s">
        <v>366</v>
      </c>
      <c r="J146" s="10" t="s">
        <v>368</v>
      </c>
      <c r="K146" s="6" t="b">
        <v>0</v>
      </c>
      <c r="L146" s="11">
        <f>SUMIFS($D$2:$D146,$E$2:$E146,"2007-2018",$K$2:$K146,TRUE)/auxiliar!$B$3</f>
        <v>0.98818108498204582</v>
      </c>
      <c r="M146" s="11">
        <f>SUMIFS($D$2:$D146,$E$2:$E146,"2019-2024",$K$2:$K146,TRUE)/auxiliar!$B$4</f>
        <v>0</v>
      </c>
    </row>
    <row r="147" spans="1:13" x14ac:dyDescent="0.25">
      <c r="A147" t="s">
        <v>13</v>
      </c>
      <c r="B147" t="s">
        <v>34</v>
      </c>
      <c r="C147" t="s">
        <v>298</v>
      </c>
      <c r="D147" s="3">
        <v>623.79999999999995</v>
      </c>
      <c r="E147" t="s">
        <v>375</v>
      </c>
      <c r="F147" t="s">
        <v>366</v>
      </c>
      <c r="G147" s="6" t="s">
        <v>12</v>
      </c>
      <c r="H147" s="6" t="s">
        <v>33</v>
      </c>
      <c r="I147" s="6" t="s">
        <v>288</v>
      </c>
      <c r="K147" s="6" t="b">
        <v>1</v>
      </c>
      <c r="L147" s="11">
        <f>SUMIFS($D$2:$D147,$E$2:$E147,"2007-2018",$K$2:$K147,TRUE)/auxiliar!$B$3</f>
        <v>0.98819142394630521</v>
      </c>
      <c r="M147" s="11">
        <f>SUMIFS($D$2:$D147,$E$2:$E147,"2019-2024",$K$2:$K147,TRUE)/auxiliar!$B$4</f>
        <v>0</v>
      </c>
    </row>
    <row r="148" spans="1:13" x14ac:dyDescent="0.25">
      <c r="A148" t="s">
        <v>10</v>
      </c>
      <c r="B148" t="s">
        <v>34</v>
      </c>
      <c r="C148" t="s">
        <v>414</v>
      </c>
      <c r="D148" s="3">
        <v>609.20000000000005</v>
      </c>
      <c r="E148" t="s">
        <v>375</v>
      </c>
      <c r="F148" t="s">
        <v>366</v>
      </c>
      <c r="J148" s="10" t="s">
        <v>368</v>
      </c>
      <c r="K148" s="6" t="b">
        <v>0</v>
      </c>
      <c r="L148" s="11">
        <f>SUMIFS($D$2:$D148,$E$2:$E148,"2007-2018",$K$2:$K148,TRUE)/auxiliar!$B$3</f>
        <v>0.98819142394630521</v>
      </c>
      <c r="M148" s="11">
        <f>SUMIFS($D$2:$D148,$E$2:$E148,"2019-2024",$K$2:$K148,TRUE)/auxiliar!$B$4</f>
        <v>0</v>
      </c>
    </row>
    <row r="149" spans="1:13" x14ac:dyDescent="0.25">
      <c r="A149" t="s">
        <v>10</v>
      </c>
      <c r="B149" t="s">
        <v>32</v>
      </c>
      <c r="C149" t="s">
        <v>295</v>
      </c>
      <c r="D149" s="3">
        <v>545.29999999999995</v>
      </c>
      <c r="E149" t="s">
        <v>375</v>
      </c>
      <c r="F149" t="s">
        <v>366</v>
      </c>
      <c r="J149" s="10" t="s">
        <v>368</v>
      </c>
      <c r="K149" s="6" t="b">
        <v>0</v>
      </c>
      <c r="L149" s="11">
        <f>SUMIFS($D$2:$D149,$E$2:$E149,"2007-2018",$K$2:$K149,TRUE)/auxiliar!$B$3</f>
        <v>0.98819142394630521</v>
      </c>
      <c r="M149" s="11">
        <f>SUMIFS($D$2:$D149,$E$2:$E149,"2019-2024",$K$2:$K149,TRUE)/auxiliar!$B$4</f>
        <v>0</v>
      </c>
    </row>
    <row r="150" spans="1:13" x14ac:dyDescent="0.25">
      <c r="A150" t="s">
        <v>10</v>
      </c>
      <c r="B150" t="s">
        <v>30</v>
      </c>
      <c r="C150" t="s">
        <v>386</v>
      </c>
      <c r="D150" s="3">
        <v>544</v>
      </c>
      <c r="E150" t="s">
        <v>375</v>
      </c>
      <c r="F150" t="s">
        <v>366</v>
      </c>
      <c r="J150" s="10" t="s">
        <v>368</v>
      </c>
      <c r="K150" s="6" t="b">
        <v>0</v>
      </c>
      <c r="L150" s="11">
        <f>SUMIFS($D$2:$D150,$E$2:$E150,"2007-2018",$K$2:$K150,TRUE)/auxiliar!$B$3</f>
        <v>0.98819142394630521</v>
      </c>
      <c r="M150" s="11">
        <f>SUMIFS($D$2:$D150,$E$2:$E150,"2019-2024",$K$2:$K150,TRUE)/auxiliar!$B$4</f>
        <v>0</v>
      </c>
    </row>
    <row r="151" spans="1:13" x14ac:dyDescent="0.25">
      <c r="A151" t="s">
        <v>13</v>
      </c>
      <c r="B151" t="s">
        <v>34</v>
      </c>
      <c r="C151" t="s">
        <v>280</v>
      </c>
      <c r="D151" s="3">
        <v>532.64</v>
      </c>
      <c r="E151" t="s">
        <v>375</v>
      </c>
      <c r="F151" t="s">
        <v>366</v>
      </c>
      <c r="G151" s="6" t="s">
        <v>11</v>
      </c>
      <c r="H151" s="6" t="s">
        <v>33</v>
      </c>
      <c r="I151" s="6" t="s">
        <v>303</v>
      </c>
      <c r="K151" s="6" t="b">
        <v>1</v>
      </c>
      <c r="L151" s="11">
        <f>SUMIFS($D$2:$D151,$E$2:$E151,"2007-2018",$K$2:$K151,TRUE)/auxiliar!$B$3</f>
        <v>0.98820025200966399</v>
      </c>
      <c r="M151" s="11">
        <f>SUMIFS($D$2:$D151,$E$2:$E151,"2019-2024",$K$2:$K151,TRUE)/auxiliar!$B$4</f>
        <v>0</v>
      </c>
    </row>
    <row r="152" spans="1:13" x14ac:dyDescent="0.25">
      <c r="A152" t="s">
        <v>10</v>
      </c>
      <c r="B152" t="s">
        <v>34</v>
      </c>
      <c r="C152" t="s">
        <v>269</v>
      </c>
      <c r="D152" s="3">
        <v>518.5</v>
      </c>
      <c r="E152" t="s">
        <v>375</v>
      </c>
      <c r="F152" t="s">
        <v>366</v>
      </c>
      <c r="J152" s="10" t="s">
        <v>368</v>
      </c>
      <c r="K152" s="6" t="b">
        <v>0</v>
      </c>
      <c r="L152" s="11">
        <f>SUMIFS($D$2:$D152,$E$2:$E152,"2007-2018",$K$2:$K152,TRUE)/auxiliar!$B$3</f>
        <v>0.98820025200966399</v>
      </c>
      <c r="M152" s="11">
        <f>SUMIFS($D$2:$D152,$E$2:$E152,"2019-2024",$K$2:$K152,TRUE)/auxiliar!$B$4</f>
        <v>0</v>
      </c>
    </row>
    <row r="153" spans="1:13" x14ac:dyDescent="0.25">
      <c r="A153" t="s">
        <v>10</v>
      </c>
      <c r="B153" t="s">
        <v>19</v>
      </c>
      <c r="C153" t="s">
        <v>290</v>
      </c>
      <c r="D153" s="3">
        <v>490</v>
      </c>
      <c r="E153" t="s">
        <v>375</v>
      </c>
      <c r="F153" t="s">
        <v>366</v>
      </c>
      <c r="J153" s="10" t="s">
        <v>368</v>
      </c>
      <c r="K153" s="6" t="b">
        <v>0</v>
      </c>
      <c r="L153" s="11">
        <f>SUMIFS($D$2:$D153,$E$2:$E153,"2007-2018",$K$2:$K153,TRUE)/auxiliar!$B$3</f>
        <v>0.98820025200966399</v>
      </c>
      <c r="M153" s="11">
        <f>SUMIFS($D$2:$D153,$E$2:$E153,"2019-2024",$K$2:$K153,TRUE)/auxiliar!$B$4</f>
        <v>0</v>
      </c>
    </row>
    <row r="154" spans="1:13" x14ac:dyDescent="0.25">
      <c r="A154" t="s">
        <v>10</v>
      </c>
      <c r="B154" t="s">
        <v>26</v>
      </c>
      <c r="C154" t="s">
        <v>341</v>
      </c>
      <c r="D154" s="3">
        <v>467</v>
      </c>
      <c r="E154" t="s">
        <v>375</v>
      </c>
      <c r="F154" t="s">
        <v>366</v>
      </c>
      <c r="G154" s="6" t="s">
        <v>11</v>
      </c>
      <c r="H154" s="6" t="s">
        <v>21</v>
      </c>
      <c r="I154" s="6" t="s">
        <v>339</v>
      </c>
      <c r="K154" s="6" t="b">
        <v>1</v>
      </c>
      <c r="L154" s="11">
        <f>SUMIFS($D$2:$D154,$E$2:$E154,"2007-2018",$K$2:$K154,TRUE)/auxiliar!$B$3</f>
        <v>0.98820799214481814</v>
      </c>
      <c r="M154" s="11">
        <f>SUMIFS($D$2:$D154,$E$2:$E154,"2019-2024",$K$2:$K154,TRUE)/auxiliar!$B$4</f>
        <v>0</v>
      </c>
    </row>
    <row r="155" spans="1:13" x14ac:dyDescent="0.25">
      <c r="A155" t="s">
        <v>10</v>
      </c>
      <c r="B155" t="s">
        <v>26</v>
      </c>
      <c r="C155" t="s">
        <v>392</v>
      </c>
      <c r="D155" s="3">
        <v>461</v>
      </c>
      <c r="E155" t="s">
        <v>375</v>
      </c>
      <c r="F155" t="s">
        <v>366</v>
      </c>
      <c r="J155" s="10" t="s">
        <v>368</v>
      </c>
      <c r="K155" s="6" t="b">
        <v>0</v>
      </c>
      <c r="L155" s="11">
        <f>SUMIFS($D$2:$D155,$E$2:$E155,"2007-2018",$K$2:$K155,TRUE)/auxiliar!$B$3</f>
        <v>0.98820799214481814</v>
      </c>
      <c r="M155" s="11">
        <f>SUMIFS($D$2:$D155,$E$2:$E155,"2019-2024",$K$2:$K155,TRUE)/auxiliar!$B$4</f>
        <v>0</v>
      </c>
    </row>
    <row r="156" spans="1:13" x14ac:dyDescent="0.25">
      <c r="A156" t="s">
        <v>10</v>
      </c>
      <c r="B156" t="s">
        <v>26</v>
      </c>
      <c r="C156" t="s">
        <v>357</v>
      </c>
      <c r="D156" s="3">
        <v>454.1</v>
      </c>
      <c r="E156" t="s">
        <v>375</v>
      </c>
      <c r="F156" t="s">
        <v>366</v>
      </c>
      <c r="G156" s="6" t="s">
        <v>11</v>
      </c>
      <c r="H156" s="6" t="s">
        <v>24</v>
      </c>
      <c r="I156" s="6" t="s">
        <v>342</v>
      </c>
      <c r="K156" s="6" t="b">
        <v>1</v>
      </c>
      <c r="L156" s="11">
        <f>SUMIFS($D$2:$D156,$E$2:$E156,"2007-2018",$K$2:$K156,TRUE)/auxiliar!$B$3</f>
        <v>0.98821551847324107</v>
      </c>
      <c r="M156" s="11">
        <f>SUMIFS($D$2:$D156,$E$2:$E156,"2019-2024",$K$2:$K156,TRUE)/auxiliar!$B$4</f>
        <v>0</v>
      </c>
    </row>
    <row r="157" spans="1:13" x14ac:dyDescent="0.25">
      <c r="A157" t="s">
        <v>10</v>
      </c>
      <c r="B157" t="s">
        <v>26</v>
      </c>
      <c r="C157" t="s">
        <v>310</v>
      </c>
      <c r="D157" s="3">
        <v>381.3</v>
      </c>
      <c r="E157" t="s">
        <v>375</v>
      </c>
      <c r="F157" t="s">
        <v>366</v>
      </c>
      <c r="G157" s="6" t="s">
        <v>11</v>
      </c>
      <c r="H157" s="6" t="s">
        <v>21</v>
      </c>
      <c r="I157" s="6" t="s">
        <v>301</v>
      </c>
      <c r="K157" s="6" t="b">
        <v>1</v>
      </c>
      <c r="L157" s="11">
        <f>SUMIFS($D$2:$D157,$E$2:$E157,"2007-2018",$K$2:$K157,TRUE)/auxiliar!$B$3</f>
        <v>0.98822183820243648</v>
      </c>
      <c r="M157" s="11">
        <f>SUMIFS($D$2:$D157,$E$2:$E157,"2019-2024",$K$2:$K157,TRUE)/auxiliar!$B$4</f>
        <v>0</v>
      </c>
    </row>
    <row r="158" spans="1:13" x14ac:dyDescent="0.25">
      <c r="A158" t="s">
        <v>13</v>
      </c>
      <c r="B158" t="s">
        <v>29</v>
      </c>
      <c r="C158" t="s">
        <v>308</v>
      </c>
      <c r="D158" s="3">
        <v>375.9</v>
      </c>
      <c r="E158" t="s">
        <v>375</v>
      </c>
      <c r="F158" t="s">
        <v>366</v>
      </c>
      <c r="G158" s="6" t="s">
        <v>12</v>
      </c>
      <c r="H158" s="6" t="s">
        <v>28</v>
      </c>
      <c r="I158" s="6" t="s">
        <v>316</v>
      </c>
      <c r="K158" s="6" t="b">
        <v>1</v>
      </c>
      <c r="L158" s="11">
        <f>SUMIFS($D$2:$D158,$E$2:$E158,"2007-2018",$K$2:$K158,TRUE)/auxiliar!$B$3</f>
        <v>0.98822806843113986</v>
      </c>
      <c r="M158" s="11">
        <f>SUMIFS($D$2:$D158,$E$2:$E158,"2019-2024",$K$2:$K158,TRUE)/auxiliar!$B$4</f>
        <v>0</v>
      </c>
    </row>
    <row r="159" spans="1:13" x14ac:dyDescent="0.25">
      <c r="A159" t="s">
        <v>13</v>
      </c>
      <c r="B159" t="s">
        <v>34</v>
      </c>
      <c r="C159" t="s">
        <v>296</v>
      </c>
      <c r="D159" s="3">
        <v>367</v>
      </c>
      <c r="E159" t="s">
        <v>375</v>
      </c>
      <c r="F159" t="s">
        <v>366</v>
      </c>
      <c r="G159" s="6" t="s">
        <v>11</v>
      </c>
      <c r="H159" s="6" t="s">
        <v>33</v>
      </c>
      <c r="I159" s="6" t="s">
        <v>297</v>
      </c>
      <c r="K159" s="6" t="b">
        <v>1</v>
      </c>
      <c r="L159" s="11">
        <f>SUMIFS($D$2:$D159,$E$2:$E159,"2007-2018",$K$2:$K159,TRUE)/auxiliar!$B$3</f>
        <v>0.98823415114977275</v>
      </c>
      <c r="M159" s="11">
        <f>SUMIFS($D$2:$D159,$E$2:$E159,"2019-2024",$K$2:$K159,TRUE)/auxiliar!$B$4</f>
        <v>0</v>
      </c>
    </row>
    <row r="160" spans="1:13" x14ac:dyDescent="0.25">
      <c r="A160" t="s">
        <v>14</v>
      </c>
      <c r="B160" t="s">
        <v>22</v>
      </c>
      <c r="C160" t="s">
        <v>378</v>
      </c>
      <c r="D160" s="3">
        <v>283</v>
      </c>
      <c r="E160" t="s">
        <v>375</v>
      </c>
      <c r="F160" t="s">
        <v>366</v>
      </c>
      <c r="J160" s="10" t="s">
        <v>368</v>
      </c>
      <c r="K160" s="6" t="b">
        <v>0</v>
      </c>
      <c r="L160" s="11">
        <f>SUMIFS($D$2:$D160,$E$2:$E160,"2007-2018",$K$2:$K160,TRUE)/auxiliar!$B$3</f>
        <v>0.98823415114977275</v>
      </c>
      <c r="M160" s="11">
        <f>SUMIFS($D$2:$D160,$E$2:$E160,"2019-2024",$K$2:$K160,TRUE)/auxiliar!$B$4</f>
        <v>0</v>
      </c>
    </row>
    <row r="161" spans="1:13" x14ac:dyDescent="0.25">
      <c r="A161" t="s">
        <v>10</v>
      </c>
      <c r="B161" t="s">
        <v>26</v>
      </c>
      <c r="C161" t="s">
        <v>397</v>
      </c>
      <c r="D161" s="3">
        <v>264</v>
      </c>
      <c r="E161" t="s">
        <v>375</v>
      </c>
      <c r="F161" t="s">
        <v>366</v>
      </c>
      <c r="J161" s="10" t="s">
        <v>368</v>
      </c>
      <c r="K161" s="6" t="b">
        <v>0</v>
      </c>
      <c r="L161" s="11">
        <f>SUMIFS($D$2:$D161,$E$2:$E161,"2007-2018",$K$2:$K161,TRUE)/auxiliar!$B$3</f>
        <v>0.98823415114977275</v>
      </c>
      <c r="M161" s="11">
        <f>SUMIFS($D$2:$D161,$E$2:$E161,"2019-2024",$K$2:$K161,TRUE)/auxiliar!$B$4</f>
        <v>0</v>
      </c>
    </row>
    <row r="162" spans="1:13" x14ac:dyDescent="0.25">
      <c r="A162" t="s">
        <v>10</v>
      </c>
      <c r="B162" t="s">
        <v>34</v>
      </c>
      <c r="C162" t="s">
        <v>313</v>
      </c>
      <c r="D162" s="3">
        <v>261.2</v>
      </c>
      <c r="E162" t="s">
        <v>375</v>
      </c>
      <c r="F162" t="s">
        <v>366</v>
      </c>
      <c r="G162" s="6" t="s">
        <v>11</v>
      </c>
      <c r="H162" s="6" t="s">
        <v>23</v>
      </c>
      <c r="I162" s="6" t="s">
        <v>302</v>
      </c>
      <c r="K162" s="6" t="b">
        <v>1</v>
      </c>
      <c r="L162" s="11">
        <f>SUMIFS($D$2:$D162,$E$2:$E162,"2007-2018",$K$2:$K162,TRUE)/auxiliar!$B$3</f>
        <v>0.98823848032172623</v>
      </c>
      <c r="M162" s="11">
        <f>SUMIFS($D$2:$D162,$E$2:$E162,"2019-2024",$K$2:$K162,TRUE)/auxiliar!$B$4</f>
        <v>0</v>
      </c>
    </row>
    <row r="163" spans="1:13" x14ac:dyDescent="0.25">
      <c r="A163" t="s">
        <v>10</v>
      </c>
      <c r="B163" t="s">
        <v>25</v>
      </c>
      <c r="C163" t="s">
        <v>358</v>
      </c>
      <c r="D163" s="3">
        <v>252.1</v>
      </c>
      <c r="E163" t="s">
        <v>375</v>
      </c>
      <c r="F163" t="s">
        <v>366</v>
      </c>
      <c r="J163" s="10" t="s">
        <v>368</v>
      </c>
      <c r="K163" s="6" t="b">
        <v>0</v>
      </c>
      <c r="L163" s="11">
        <f>SUMIFS($D$2:$D163,$E$2:$E163,"2007-2018",$K$2:$K163,TRUE)/auxiliar!$B$3</f>
        <v>0.98823848032172623</v>
      </c>
      <c r="M163" s="11">
        <f>SUMIFS($D$2:$D163,$E$2:$E163,"2019-2024",$K$2:$K163,TRUE)/auxiliar!$B$4</f>
        <v>0</v>
      </c>
    </row>
    <row r="164" spans="1:13" x14ac:dyDescent="0.25">
      <c r="A164" t="s">
        <v>13</v>
      </c>
      <c r="B164" t="s">
        <v>29</v>
      </c>
      <c r="C164" t="s">
        <v>338</v>
      </c>
      <c r="D164" s="3">
        <v>228.53200000000001</v>
      </c>
      <c r="E164" t="s">
        <v>375</v>
      </c>
      <c r="F164" t="s">
        <v>366</v>
      </c>
      <c r="G164" s="6" t="s">
        <v>12</v>
      </c>
      <c r="H164" s="6" t="s">
        <v>28</v>
      </c>
      <c r="I164" s="6" t="s">
        <v>328</v>
      </c>
      <c r="K164" s="6" t="b">
        <v>1</v>
      </c>
      <c r="L164" s="11">
        <f>SUMIFS($D$2:$D164,$E$2:$E164,"2007-2018",$K$2:$K164,TRUE)/auxiliar!$B$3</f>
        <v>0.98824226804885051</v>
      </c>
      <c r="M164" s="11">
        <f>SUMIFS($D$2:$D164,$E$2:$E164,"2019-2024",$K$2:$K164,TRUE)/auxiliar!$B$4</f>
        <v>0</v>
      </c>
    </row>
    <row r="165" spans="1:13" x14ac:dyDescent="0.25">
      <c r="A165" t="s">
        <v>10</v>
      </c>
      <c r="B165" t="s">
        <v>26</v>
      </c>
      <c r="C165" t="s">
        <v>345</v>
      </c>
      <c r="D165" s="3">
        <v>221.5</v>
      </c>
      <c r="E165" t="s">
        <v>375</v>
      </c>
      <c r="F165" t="s">
        <v>366</v>
      </c>
      <c r="G165" s="6" t="s">
        <v>11</v>
      </c>
      <c r="H165" s="6" t="s">
        <v>21</v>
      </c>
      <c r="I165" s="6" t="s">
        <v>344</v>
      </c>
      <c r="K165" s="6" t="b">
        <v>1</v>
      </c>
      <c r="L165" s="11">
        <f>SUMIFS($D$2:$D165,$E$2:$E165,"2007-2018",$K$2:$K165,TRUE)/auxiliar!$B$3</f>
        <v>0.9882459392264451</v>
      </c>
      <c r="M165" s="11">
        <f>SUMIFS($D$2:$D165,$E$2:$E165,"2019-2024",$K$2:$K165,TRUE)/auxiliar!$B$4</f>
        <v>0</v>
      </c>
    </row>
    <row r="166" spans="1:13" x14ac:dyDescent="0.25">
      <c r="A166" t="s">
        <v>10</v>
      </c>
      <c r="B166" t="s">
        <v>32</v>
      </c>
      <c r="C166" t="s">
        <v>387</v>
      </c>
      <c r="D166" s="3">
        <v>221</v>
      </c>
      <c r="E166" t="s">
        <v>375</v>
      </c>
      <c r="F166" t="s">
        <v>366</v>
      </c>
      <c r="J166" s="10" t="s">
        <v>368</v>
      </c>
      <c r="K166" s="6" t="b">
        <v>0</v>
      </c>
      <c r="L166" s="11">
        <f>SUMIFS($D$2:$D166,$E$2:$E166,"2007-2018",$K$2:$K166,TRUE)/auxiliar!$B$3</f>
        <v>0.9882459392264451</v>
      </c>
      <c r="M166" s="11">
        <f>SUMIFS($D$2:$D166,$E$2:$E166,"2019-2024",$K$2:$K166,TRUE)/auxiliar!$B$4</f>
        <v>0</v>
      </c>
    </row>
    <row r="167" spans="1:13" x14ac:dyDescent="0.25">
      <c r="A167" t="s">
        <v>10</v>
      </c>
      <c r="B167" t="s">
        <v>34</v>
      </c>
      <c r="C167" t="s">
        <v>330</v>
      </c>
      <c r="D167" s="3">
        <v>210.4</v>
      </c>
      <c r="E167" t="s">
        <v>375</v>
      </c>
      <c r="F167" t="s">
        <v>366</v>
      </c>
      <c r="G167" s="6" t="s">
        <v>11</v>
      </c>
      <c r="H167" s="6" t="s">
        <v>33</v>
      </c>
      <c r="I167" s="6" t="s">
        <v>353</v>
      </c>
      <c r="K167" s="6" t="b">
        <v>1</v>
      </c>
      <c r="L167" s="11">
        <f>SUMIFS($D$2:$D167,$E$2:$E167,"2007-2018",$K$2:$K167,TRUE)/auxiliar!$B$3</f>
        <v>0.98824942643080571</v>
      </c>
      <c r="M167" s="11">
        <f>SUMIFS($D$2:$D167,$E$2:$E167,"2019-2024",$K$2:$K167,TRUE)/auxiliar!$B$4</f>
        <v>0</v>
      </c>
    </row>
    <row r="168" spans="1:13" x14ac:dyDescent="0.25">
      <c r="A168" t="s">
        <v>13</v>
      </c>
      <c r="B168" t="s">
        <v>29</v>
      </c>
      <c r="C168" t="s">
        <v>279</v>
      </c>
      <c r="D168" s="3">
        <v>183</v>
      </c>
      <c r="E168" t="s">
        <v>375</v>
      </c>
      <c r="F168" t="s">
        <v>366</v>
      </c>
      <c r="J168" s="10" t="s">
        <v>368</v>
      </c>
      <c r="K168" s="6" t="b">
        <v>0</v>
      </c>
      <c r="L168" s="11">
        <f>SUMIFS($D$2:$D168,$E$2:$E168,"2007-2018",$K$2:$K168,TRUE)/auxiliar!$B$3</f>
        <v>0.98824942643080571</v>
      </c>
      <c r="M168" s="11">
        <f>SUMIFS($D$2:$D168,$E$2:$E168,"2019-2024",$K$2:$K168,TRUE)/auxiliar!$B$4</f>
        <v>0</v>
      </c>
    </row>
    <row r="169" spans="1:13" x14ac:dyDescent="0.25">
      <c r="A169" t="s">
        <v>10</v>
      </c>
      <c r="B169" t="s">
        <v>34</v>
      </c>
      <c r="C169" t="s">
        <v>275</v>
      </c>
      <c r="D169" s="3">
        <v>183</v>
      </c>
      <c r="E169" t="s">
        <v>375</v>
      </c>
      <c r="F169" t="s">
        <v>366</v>
      </c>
      <c r="J169" s="10" t="s">
        <v>368</v>
      </c>
      <c r="K169" s="6" t="b">
        <v>0</v>
      </c>
      <c r="L169" s="11">
        <f>SUMIFS($D$2:$D169,$E$2:$E169,"2007-2018",$K$2:$K169,TRUE)/auxiliar!$B$3</f>
        <v>0.98824942643080571</v>
      </c>
      <c r="M169" s="11">
        <f>SUMIFS($D$2:$D169,$E$2:$E169,"2019-2024",$K$2:$K169,TRUE)/auxiliar!$B$4</f>
        <v>0</v>
      </c>
    </row>
    <row r="170" spans="1:13" x14ac:dyDescent="0.25">
      <c r="A170" t="s">
        <v>10</v>
      </c>
      <c r="B170" t="s">
        <v>34</v>
      </c>
      <c r="C170" t="s">
        <v>415</v>
      </c>
      <c r="D170" s="3">
        <v>170</v>
      </c>
      <c r="E170" t="s">
        <v>375</v>
      </c>
      <c r="F170" t="s">
        <v>366</v>
      </c>
      <c r="J170" s="10" t="s">
        <v>368</v>
      </c>
      <c r="K170" s="6" t="b">
        <v>0</v>
      </c>
      <c r="L170" s="11">
        <f>SUMIFS($D$2:$D170,$E$2:$E170,"2007-2018",$K$2:$K170,TRUE)/auxiliar!$B$3</f>
        <v>0.98824942643080571</v>
      </c>
      <c r="M170" s="11">
        <f>SUMIFS($D$2:$D170,$E$2:$E170,"2019-2024",$K$2:$K170,TRUE)/auxiliar!$B$4</f>
        <v>0</v>
      </c>
    </row>
    <row r="171" spans="1:13" x14ac:dyDescent="0.25">
      <c r="A171" t="s">
        <v>10</v>
      </c>
      <c r="B171" t="s">
        <v>30</v>
      </c>
      <c r="C171" t="s">
        <v>320</v>
      </c>
      <c r="D171" s="3">
        <v>165.1</v>
      </c>
      <c r="E171" t="s">
        <v>375</v>
      </c>
      <c r="F171" t="s">
        <v>366</v>
      </c>
      <c r="J171" s="10" t="s">
        <v>368</v>
      </c>
      <c r="K171" s="6" t="b">
        <v>0</v>
      </c>
      <c r="L171" s="11">
        <f>SUMIFS($D$2:$D171,$E$2:$E171,"2007-2018",$K$2:$K171,TRUE)/auxiliar!$B$3</f>
        <v>0.98824942643080571</v>
      </c>
      <c r="M171" s="11">
        <f>SUMIFS($D$2:$D171,$E$2:$E171,"2019-2024",$K$2:$K171,TRUE)/auxiliar!$B$4</f>
        <v>0</v>
      </c>
    </row>
    <row r="172" spans="1:13" x14ac:dyDescent="0.25">
      <c r="A172" t="s">
        <v>10</v>
      </c>
      <c r="B172" t="s">
        <v>15</v>
      </c>
      <c r="C172" t="s">
        <v>364</v>
      </c>
      <c r="D172" s="3">
        <v>163</v>
      </c>
      <c r="E172" t="s">
        <v>375</v>
      </c>
      <c r="F172" t="s">
        <v>366</v>
      </c>
      <c r="G172" s="6" t="s">
        <v>11</v>
      </c>
      <c r="H172" s="6" t="s">
        <v>21</v>
      </c>
      <c r="I172" s="6" t="s">
        <v>360</v>
      </c>
      <c r="K172" s="6" t="b">
        <v>1</v>
      </c>
      <c r="L172" s="11">
        <f>SUMIFS($D$2:$D172,$E$2:$E172,"2007-2018",$K$2:$K172,TRUE)/auxiliar!$B$3</f>
        <v>0.98825212801973539</v>
      </c>
      <c r="M172" s="11">
        <f>SUMIFS($D$2:$D172,$E$2:$E172,"2019-2024",$K$2:$K172,TRUE)/auxiliar!$B$4</f>
        <v>0</v>
      </c>
    </row>
    <row r="173" spans="1:13" x14ac:dyDescent="0.25">
      <c r="A173" t="s">
        <v>13</v>
      </c>
      <c r="B173" t="s">
        <v>30</v>
      </c>
      <c r="C173" t="s">
        <v>320</v>
      </c>
      <c r="D173" s="3">
        <v>156</v>
      </c>
      <c r="E173" t="s">
        <v>375</v>
      </c>
      <c r="F173" t="s">
        <v>366</v>
      </c>
      <c r="J173" s="10" t="s">
        <v>368</v>
      </c>
      <c r="K173" s="6" t="b">
        <v>0</v>
      </c>
      <c r="L173" s="11">
        <f>SUMIFS($D$2:$D173,$E$2:$E173,"2007-2018",$K$2:$K173,TRUE)/auxiliar!$B$3</f>
        <v>0.98825212801973539</v>
      </c>
      <c r="M173" s="11">
        <f>SUMIFS($D$2:$D173,$E$2:$E173,"2019-2024",$K$2:$K173,TRUE)/auxiliar!$B$4</f>
        <v>0</v>
      </c>
    </row>
    <row r="174" spans="1:13" x14ac:dyDescent="0.25">
      <c r="A174" t="s">
        <v>10</v>
      </c>
      <c r="B174" t="s">
        <v>32</v>
      </c>
      <c r="C174" t="s">
        <v>265</v>
      </c>
      <c r="D174" s="3">
        <v>151</v>
      </c>
      <c r="E174" t="s">
        <v>375</v>
      </c>
      <c r="F174" t="s">
        <v>366</v>
      </c>
      <c r="J174" s="10" t="s">
        <v>368</v>
      </c>
      <c r="K174" s="6" t="b">
        <v>0</v>
      </c>
      <c r="L174" s="11">
        <f>SUMIFS($D$2:$D174,$E$2:$E174,"2007-2018",$K$2:$K174,TRUE)/auxiliar!$B$3</f>
        <v>0.98825212801973539</v>
      </c>
      <c r="M174" s="11">
        <f>SUMIFS($D$2:$D174,$E$2:$E174,"2019-2024",$K$2:$K174,TRUE)/auxiliar!$B$4</f>
        <v>0</v>
      </c>
    </row>
    <row r="175" spans="1:13" x14ac:dyDescent="0.25">
      <c r="A175" t="s">
        <v>13</v>
      </c>
      <c r="B175" t="s">
        <v>32</v>
      </c>
      <c r="C175" t="s">
        <v>253</v>
      </c>
      <c r="D175" s="3">
        <v>148.6</v>
      </c>
      <c r="E175" t="s">
        <v>375</v>
      </c>
      <c r="F175" t="s">
        <v>366</v>
      </c>
      <c r="J175" s="10" t="s">
        <v>368</v>
      </c>
      <c r="K175" s="6" t="b">
        <v>0</v>
      </c>
      <c r="L175" s="11">
        <f>SUMIFS($D$2:$D175,$E$2:$E175,"2007-2018",$K$2:$K175,TRUE)/auxiliar!$B$3</f>
        <v>0.98825212801973539</v>
      </c>
      <c r="M175" s="11">
        <f>SUMIFS($D$2:$D175,$E$2:$E175,"2019-2024",$K$2:$K175,TRUE)/auxiliar!$B$4</f>
        <v>0</v>
      </c>
    </row>
    <row r="176" spans="1:13" x14ac:dyDescent="0.25">
      <c r="A176" t="s">
        <v>10</v>
      </c>
      <c r="B176" t="s">
        <v>30</v>
      </c>
      <c r="C176" t="s">
        <v>350</v>
      </c>
      <c r="D176" s="3">
        <v>135.1</v>
      </c>
      <c r="E176" t="s">
        <v>375</v>
      </c>
      <c r="F176" t="s">
        <v>366</v>
      </c>
      <c r="J176" s="10" t="s">
        <v>368</v>
      </c>
      <c r="K176" s="6" t="b">
        <v>0</v>
      </c>
      <c r="L176" s="11">
        <f>SUMIFS($D$2:$D176,$E$2:$E176,"2007-2018",$K$2:$K176,TRUE)/auxiliar!$B$3</f>
        <v>0.98825212801973539</v>
      </c>
      <c r="M176" s="11">
        <f>SUMIFS($D$2:$D176,$E$2:$E176,"2019-2024",$K$2:$K176,TRUE)/auxiliar!$B$4</f>
        <v>0</v>
      </c>
    </row>
    <row r="177" spans="1:13" x14ac:dyDescent="0.25">
      <c r="A177" t="s">
        <v>10</v>
      </c>
      <c r="B177" t="s">
        <v>34</v>
      </c>
      <c r="C177" t="s">
        <v>418</v>
      </c>
      <c r="D177" s="3">
        <v>135</v>
      </c>
      <c r="E177" t="s">
        <v>375</v>
      </c>
      <c r="F177" t="s">
        <v>366</v>
      </c>
      <c r="J177" s="10" t="s">
        <v>368</v>
      </c>
      <c r="K177" s="6" t="b">
        <v>0</v>
      </c>
      <c r="L177" s="11">
        <f>SUMIFS($D$2:$D177,$E$2:$E177,"2007-2018",$K$2:$K177,TRUE)/auxiliar!$B$3</f>
        <v>0.98825212801973539</v>
      </c>
      <c r="M177" s="11">
        <f>SUMIFS($D$2:$D177,$E$2:$E177,"2019-2024",$K$2:$K177,TRUE)/auxiliar!$B$4</f>
        <v>0</v>
      </c>
    </row>
    <row r="178" spans="1:13" x14ac:dyDescent="0.25">
      <c r="A178" t="s">
        <v>10</v>
      </c>
      <c r="B178" t="s">
        <v>26</v>
      </c>
      <c r="C178" t="s">
        <v>300</v>
      </c>
      <c r="D178" s="3">
        <v>134.4</v>
      </c>
      <c r="E178" t="s">
        <v>375</v>
      </c>
      <c r="F178" t="s">
        <v>366</v>
      </c>
      <c r="G178" s="6" t="s">
        <v>11</v>
      </c>
      <c r="H178" s="6" t="s">
        <v>21</v>
      </c>
      <c r="I178" s="6" t="s">
        <v>294</v>
      </c>
      <c r="K178" s="6" t="b">
        <v>1</v>
      </c>
      <c r="L178" s="11">
        <f>SUMIFS($D$2:$D178,$E$2:$E178,"2007-2018",$K$2:$K178,TRUE)/auxiliar!$B$3</f>
        <v>0.98825435558753982</v>
      </c>
      <c r="M178" s="11">
        <f>SUMIFS($D$2:$D178,$E$2:$E178,"2019-2024",$K$2:$K178,TRUE)/auxiliar!$B$4</f>
        <v>0</v>
      </c>
    </row>
    <row r="179" spans="1:13" x14ac:dyDescent="0.25">
      <c r="A179" t="s">
        <v>14</v>
      </c>
      <c r="B179" t="s">
        <v>29</v>
      </c>
      <c r="C179" t="s">
        <v>286</v>
      </c>
      <c r="D179" s="3">
        <v>128</v>
      </c>
      <c r="E179" t="s">
        <v>375</v>
      </c>
      <c r="F179" t="s">
        <v>366</v>
      </c>
      <c r="G179" s="9" t="s">
        <v>12</v>
      </c>
      <c r="H179" s="9" t="s">
        <v>28</v>
      </c>
      <c r="I179" s="9" t="s">
        <v>276</v>
      </c>
      <c r="J179" s="9"/>
      <c r="K179" s="6" t="b">
        <v>1</v>
      </c>
      <c r="L179" s="11">
        <f>SUMIFS($D$2:$D179,$E$2:$E179,"2007-2018",$K$2:$K179,TRUE)/auxiliar!$B$3</f>
        <v>0.98825647708068709</v>
      </c>
      <c r="M179" s="11">
        <f>SUMIFS($D$2:$D179,$E$2:$E179,"2019-2024",$K$2:$K179,TRUE)/auxiliar!$B$4</f>
        <v>0</v>
      </c>
    </row>
    <row r="180" spans="1:13" x14ac:dyDescent="0.25">
      <c r="A180" t="s">
        <v>10</v>
      </c>
      <c r="B180" t="s">
        <v>34</v>
      </c>
      <c r="C180" t="s">
        <v>267</v>
      </c>
      <c r="D180" s="3">
        <v>120</v>
      </c>
      <c r="E180" t="s">
        <v>375</v>
      </c>
      <c r="F180" t="s">
        <v>366</v>
      </c>
      <c r="G180" s="6" t="s">
        <v>11</v>
      </c>
      <c r="H180" s="6" t="s">
        <v>33</v>
      </c>
      <c r="I180" s="6" t="s">
        <v>220</v>
      </c>
      <c r="J180" s="10"/>
      <c r="K180" s="6" t="b">
        <v>1</v>
      </c>
      <c r="L180" s="11">
        <f>SUMIFS($D$2:$D180,$E$2:$E180,"2007-2018",$K$2:$K180,TRUE)/auxiliar!$B$3</f>
        <v>0.98825846598051259</v>
      </c>
      <c r="M180" s="11">
        <f>SUMIFS($D$2:$D180,$E$2:$E180,"2019-2024",$K$2:$K180,TRUE)/auxiliar!$B$4</f>
        <v>0</v>
      </c>
    </row>
    <row r="181" spans="1:13" x14ac:dyDescent="0.25">
      <c r="A181" t="s">
        <v>10</v>
      </c>
      <c r="B181" t="s">
        <v>34</v>
      </c>
      <c r="C181" t="s">
        <v>326</v>
      </c>
      <c r="D181" s="3">
        <v>119</v>
      </c>
      <c r="E181" t="s">
        <v>375</v>
      </c>
      <c r="F181" t="s">
        <v>366</v>
      </c>
      <c r="G181" s="6" t="s">
        <v>11</v>
      </c>
      <c r="H181" s="6" t="s">
        <v>33</v>
      </c>
      <c r="I181" s="6" t="s">
        <v>337</v>
      </c>
      <c r="K181" s="6" t="b">
        <v>1</v>
      </c>
      <c r="L181" s="11">
        <f>SUMIFS($D$2:$D181,$E$2:$E181,"2007-2018",$K$2:$K181,TRUE)/auxiliar!$B$3</f>
        <v>0.98826043830617283</v>
      </c>
      <c r="M181" s="11">
        <f>SUMIFS($D$2:$D181,$E$2:$E181,"2019-2024",$K$2:$K181,TRUE)/auxiliar!$B$4</f>
        <v>0</v>
      </c>
    </row>
    <row r="182" spans="1:13" x14ac:dyDescent="0.25">
      <c r="A182" t="s">
        <v>10</v>
      </c>
      <c r="B182" t="s">
        <v>26</v>
      </c>
      <c r="C182" t="s">
        <v>348</v>
      </c>
      <c r="D182" s="3">
        <v>118.6</v>
      </c>
      <c r="E182" t="s">
        <v>375</v>
      </c>
      <c r="F182" t="s">
        <v>366</v>
      </c>
      <c r="G182" s="6" t="s">
        <v>11</v>
      </c>
      <c r="H182" s="6" t="s">
        <v>21</v>
      </c>
      <c r="I182" s="6" t="s">
        <v>346</v>
      </c>
      <c r="K182" s="6" t="b">
        <v>1</v>
      </c>
      <c r="L182" s="11">
        <f>SUMIFS($D$2:$D182,$E$2:$E182,"2007-2018",$K$2:$K182,TRUE)/auxiliar!$B$3</f>
        <v>0.98826240400216703</v>
      </c>
      <c r="M182" s="11">
        <f>SUMIFS($D$2:$D182,$E$2:$E182,"2019-2024",$K$2:$K182,TRUE)/auxiliar!$B$4</f>
        <v>0</v>
      </c>
    </row>
    <row r="183" spans="1:13" x14ac:dyDescent="0.25">
      <c r="A183" t="s">
        <v>10</v>
      </c>
      <c r="B183" t="s">
        <v>26</v>
      </c>
      <c r="C183" t="s">
        <v>403</v>
      </c>
      <c r="D183" s="3">
        <v>114.5</v>
      </c>
      <c r="E183" t="s">
        <v>375</v>
      </c>
      <c r="F183" t="s">
        <v>366</v>
      </c>
      <c r="G183" s="6" t="s">
        <v>11</v>
      </c>
      <c r="H183" s="6" t="s">
        <v>21</v>
      </c>
      <c r="I183" s="6" t="s">
        <v>404</v>
      </c>
      <c r="J183" s="10"/>
      <c r="K183" s="6" t="b">
        <v>1</v>
      </c>
      <c r="L183" s="11">
        <f>SUMIFS($D$2:$D183,$E$2:$E183,"2007-2018",$K$2:$K183,TRUE)/auxiliar!$B$3</f>
        <v>0.98826430174408386</v>
      </c>
      <c r="M183" s="11">
        <f>SUMIFS($D$2:$D183,$E$2:$E183,"2019-2024",$K$2:$K183,TRUE)/auxiliar!$B$4</f>
        <v>0</v>
      </c>
    </row>
    <row r="184" spans="1:13" x14ac:dyDescent="0.25">
      <c r="A184" t="s">
        <v>10</v>
      </c>
      <c r="B184" t="s">
        <v>26</v>
      </c>
      <c r="C184" t="s">
        <v>407</v>
      </c>
      <c r="D184" s="3">
        <v>113</v>
      </c>
      <c r="E184" t="s">
        <v>375</v>
      </c>
      <c r="F184" t="s">
        <v>366</v>
      </c>
      <c r="G184" s="6" t="s">
        <v>11</v>
      </c>
      <c r="H184" s="6" t="s">
        <v>21</v>
      </c>
      <c r="I184" s="6" t="s">
        <v>406</v>
      </c>
      <c r="J184" s="10"/>
      <c r="K184" s="6" t="b">
        <v>1</v>
      </c>
      <c r="L184" s="11">
        <f>SUMIFS($D$2:$D184,$E$2:$E184,"2007-2018",$K$2:$K184,TRUE)/auxiliar!$B$3</f>
        <v>0.98826617462475286</v>
      </c>
      <c r="M184" s="11">
        <f>SUMIFS($D$2:$D184,$E$2:$E184,"2019-2024",$K$2:$K184,TRUE)/auxiliar!$B$4</f>
        <v>0</v>
      </c>
    </row>
    <row r="185" spans="1:13" x14ac:dyDescent="0.25">
      <c r="A185" t="s">
        <v>10</v>
      </c>
      <c r="B185" t="s">
        <v>26</v>
      </c>
      <c r="C185" t="s">
        <v>305</v>
      </c>
      <c r="D185" s="3">
        <v>106</v>
      </c>
      <c r="E185" t="s">
        <v>375</v>
      </c>
      <c r="F185" t="s">
        <v>366</v>
      </c>
      <c r="G185" s="6" t="s">
        <v>11</v>
      </c>
      <c r="H185" s="6" t="s">
        <v>21</v>
      </c>
      <c r="I185" s="6" t="s">
        <v>242</v>
      </c>
      <c r="K185" s="6" t="b">
        <v>1</v>
      </c>
      <c r="L185" s="11">
        <f>SUMIFS($D$2:$D185,$E$2:$E185,"2007-2018",$K$2:$K185,TRUE)/auxiliar!$B$3</f>
        <v>0.98826793148626535</v>
      </c>
      <c r="M185" s="11">
        <f>SUMIFS($D$2:$D185,$E$2:$E185,"2019-2024",$K$2:$K185,TRUE)/auxiliar!$B$4</f>
        <v>0</v>
      </c>
    </row>
    <row r="186" spans="1:13" x14ac:dyDescent="0.25">
      <c r="A186" t="s">
        <v>10</v>
      </c>
      <c r="B186" t="s">
        <v>26</v>
      </c>
      <c r="C186" t="s">
        <v>329</v>
      </c>
      <c r="D186" s="3">
        <v>92.5</v>
      </c>
      <c r="E186" t="s">
        <v>375</v>
      </c>
      <c r="F186" t="s">
        <v>366</v>
      </c>
      <c r="G186" s="6" t="s">
        <v>11</v>
      </c>
      <c r="H186" s="6" t="s">
        <v>21</v>
      </c>
      <c r="I186" s="6" t="s">
        <v>319</v>
      </c>
      <c r="K186" s="6" t="b">
        <v>1</v>
      </c>
      <c r="L186" s="11">
        <f>SUMIFS($D$2:$D186,$E$2:$E186,"2007-2018",$K$2:$K186,TRUE)/auxiliar!$B$3</f>
        <v>0.98826946459654752</v>
      </c>
      <c r="M186" s="11">
        <f>SUMIFS($D$2:$D186,$E$2:$E186,"2019-2024",$K$2:$K186,TRUE)/auxiliar!$B$4</f>
        <v>0</v>
      </c>
    </row>
    <row r="187" spans="1:13" x14ac:dyDescent="0.25">
      <c r="A187" t="s">
        <v>10</v>
      </c>
      <c r="B187" t="s">
        <v>32</v>
      </c>
      <c r="C187" t="s">
        <v>347</v>
      </c>
      <c r="D187" s="3">
        <v>92</v>
      </c>
      <c r="E187" t="s">
        <v>375</v>
      </c>
      <c r="F187" t="s">
        <v>366</v>
      </c>
      <c r="J187" s="10" t="s">
        <v>368</v>
      </c>
      <c r="K187" s="6" t="b">
        <v>0</v>
      </c>
      <c r="L187" s="11">
        <f>SUMIFS($D$2:$D187,$E$2:$E187,"2007-2018",$K$2:$K187,TRUE)/auxiliar!$B$3</f>
        <v>0.98826946459654752</v>
      </c>
      <c r="M187" s="11">
        <f>SUMIFS($D$2:$D187,$E$2:$E187,"2019-2024",$K$2:$K187,TRUE)/auxiliar!$B$4</f>
        <v>0</v>
      </c>
    </row>
    <row r="188" spans="1:13" x14ac:dyDescent="0.25">
      <c r="A188" t="s">
        <v>10</v>
      </c>
      <c r="B188" t="s">
        <v>34</v>
      </c>
      <c r="C188" t="s">
        <v>312</v>
      </c>
      <c r="D188" s="3">
        <v>88.69</v>
      </c>
      <c r="E188" t="s">
        <v>375</v>
      </c>
      <c r="F188" t="s">
        <v>366</v>
      </c>
      <c r="J188" s="10" t="s">
        <v>368</v>
      </c>
      <c r="K188" s="6" t="b">
        <v>0</v>
      </c>
      <c r="L188" s="11">
        <f>SUMIFS($D$2:$D188,$E$2:$E188,"2007-2018",$K$2:$K188,TRUE)/auxiliar!$B$3</f>
        <v>0.98826946459654752</v>
      </c>
      <c r="M188" s="11">
        <f>SUMIFS($D$2:$D188,$E$2:$E188,"2019-2024",$K$2:$K188,TRUE)/auxiliar!$B$4</f>
        <v>0</v>
      </c>
    </row>
    <row r="189" spans="1:13" x14ac:dyDescent="0.25">
      <c r="A189" t="s">
        <v>13</v>
      </c>
      <c r="B189" t="s">
        <v>22</v>
      </c>
      <c r="C189" t="s">
        <v>434</v>
      </c>
      <c r="D189" s="3">
        <v>79</v>
      </c>
      <c r="E189" t="s">
        <v>375</v>
      </c>
      <c r="F189" t="s">
        <v>366</v>
      </c>
      <c r="J189" s="10" t="s">
        <v>368</v>
      </c>
      <c r="K189" s="6" t="b">
        <v>0</v>
      </c>
      <c r="L189" s="11">
        <f>SUMIFS($D$2:$D189,$E$2:$E189,"2007-2018",$K$2:$K189,TRUE)/auxiliar!$B$3</f>
        <v>0.98826946459654752</v>
      </c>
      <c r="M189" s="11">
        <f>SUMIFS($D$2:$D189,$E$2:$E189,"2019-2024",$K$2:$K189,TRUE)/auxiliar!$B$4</f>
        <v>0</v>
      </c>
    </row>
    <row r="190" spans="1:13" x14ac:dyDescent="0.25">
      <c r="A190" t="s">
        <v>10</v>
      </c>
      <c r="B190" t="s">
        <v>32</v>
      </c>
      <c r="C190" t="s">
        <v>323</v>
      </c>
      <c r="D190" s="3">
        <v>73.900000000000006</v>
      </c>
      <c r="E190" t="s">
        <v>375</v>
      </c>
      <c r="F190" t="s">
        <v>366</v>
      </c>
      <c r="J190" s="10" t="s">
        <v>368</v>
      </c>
      <c r="K190" s="6" t="b">
        <v>0</v>
      </c>
      <c r="L190" s="11">
        <f>SUMIFS($D$2:$D190,$E$2:$E190,"2007-2018",$K$2:$K190,TRUE)/auxiliar!$B$3</f>
        <v>0.98826946459654752</v>
      </c>
      <c r="M190" s="11">
        <f>SUMIFS($D$2:$D190,$E$2:$E190,"2019-2024",$K$2:$K190,TRUE)/auxiliar!$B$4</f>
        <v>0</v>
      </c>
    </row>
    <row r="191" spans="1:13" x14ac:dyDescent="0.25">
      <c r="A191" t="s">
        <v>10</v>
      </c>
      <c r="B191" t="s">
        <v>34</v>
      </c>
      <c r="C191" t="s">
        <v>354</v>
      </c>
      <c r="D191" s="3">
        <v>71.95</v>
      </c>
      <c r="E191" t="s">
        <v>375</v>
      </c>
      <c r="F191" t="s">
        <v>366</v>
      </c>
      <c r="G191" s="6" t="s">
        <v>11</v>
      </c>
      <c r="H191" s="6" t="s">
        <v>33</v>
      </c>
      <c r="I191" s="6" t="s">
        <v>349</v>
      </c>
      <c r="K191" s="6" t="b">
        <v>1</v>
      </c>
      <c r="L191" s="11">
        <f>SUMIFS($D$2:$D191,$E$2:$E191,"2007-2018",$K$2:$K191,TRUE)/auxiliar!$B$3</f>
        <v>0.98827065710773454</v>
      </c>
      <c r="M191" s="11">
        <f>SUMIFS($D$2:$D191,$E$2:$E191,"2019-2024",$K$2:$K191,TRUE)/auxiliar!$B$4</f>
        <v>0</v>
      </c>
    </row>
    <row r="192" spans="1:13" x14ac:dyDescent="0.25">
      <c r="A192" t="s">
        <v>14</v>
      </c>
      <c r="B192" t="s">
        <v>22</v>
      </c>
      <c r="C192" t="s">
        <v>377</v>
      </c>
      <c r="D192" s="3">
        <v>71</v>
      </c>
      <c r="E192" t="s">
        <v>375</v>
      </c>
      <c r="F192" t="s">
        <v>366</v>
      </c>
      <c r="J192" s="10" t="s">
        <v>368</v>
      </c>
      <c r="K192" s="6" t="b">
        <v>0</v>
      </c>
      <c r="L192" s="11">
        <f>SUMIFS($D$2:$D192,$E$2:$E192,"2007-2018",$K$2:$K192,TRUE)/auxiliar!$B$3</f>
        <v>0.98827065710773454</v>
      </c>
      <c r="M192" s="11">
        <f>SUMIFS($D$2:$D192,$E$2:$E192,"2019-2024",$K$2:$K192,TRUE)/auxiliar!$B$4</f>
        <v>0</v>
      </c>
    </row>
    <row r="193" spans="1:13" x14ac:dyDescent="0.25">
      <c r="A193" t="s">
        <v>13</v>
      </c>
      <c r="B193" t="s">
        <v>34</v>
      </c>
      <c r="C193" t="s">
        <v>416</v>
      </c>
      <c r="D193" s="3">
        <v>60</v>
      </c>
      <c r="E193" t="s">
        <v>375</v>
      </c>
      <c r="F193" t="s">
        <v>366</v>
      </c>
      <c r="G193" s="6" t="s">
        <v>11</v>
      </c>
      <c r="H193" s="6" t="s">
        <v>33</v>
      </c>
      <c r="I193" s="6" t="s">
        <v>382</v>
      </c>
      <c r="J193" s="10"/>
      <c r="K193" s="6" t="b">
        <v>1</v>
      </c>
      <c r="L193" s="11">
        <f>SUMIFS($D$2:$D193,$E$2:$E193,"2007-2018",$K$2:$K193,TRUE)/auxiliar!$B$3</f>
        <v>0.98827165155764729</v>
      </c>
      <c r="M193" s="11">
        <f>SUMIFS($D$2:$D193,$E$2:$E193,"2019-2024",$K$2:$K193,TRUE)/auxiliar!$B$4</f>
        <v>0</v>
      </c>
    </row>
    <row r="194" spans="1:13" x14ac:dyDescent="0.25">
      <c r="A194" t="s">
        <v>13</v>
      </c>
      <c r="B194" t="s">
        <v>29</v>
      </c>
      <c r="C194" t="s">
        <v>423</v>
      </c>
      <c r="D194" s="3">
        <v>59.8</v>
      </c>
      <c r="E194" t="s">
        <v>375</v>
      </c>
      <c r="F194" t="s">
        <v>366</v>
      </c>
      <c r="J194" s="10" t="s">
        <v>368</v>
      </c>
      <c r="K194" s="6" t="b">
        <v>0</v>
      </c>
      <c r="L194" s="11">
        <f>SUMIFS($D$2:$D194,$E$2:$E194,"2007-2018",$K$2:$K194,TRUE)/auxiliar!$B$3</f>
        <v>0.98827165155764729</v>
      </c>
      <c r="M194" s="11">
        <f>SUMIFS($D$2:$D194,$E$2:$E194,"2019-2024",$K$2:$K194,TRUE)/auxiliar!$B$4</f>
        <v>0</v>
      </c>
    </row>
    <row r="195" spans="1:13" x14ac:dyDescent="0.25">
      <c r="A195" t="s">
        <v>10</v>
      </c>
      <c r="B195" t="s">
        <v>32</v>
      </c>
      <c r="C195" t="s">
        <v>318</v>
      </c>
      <c r="D195" s="3">
        <v>57</v>
      </c>
      <c r="E195" t="s">
        <v>375</v>
      </c>
      <c r="F195" t="s">
        <v>366</v>
      </c>
      <c r="J195" s="10" t="s">
        <v>368</v>
      </c>
      <c r="K195" s="6" t="b">
        <v>0</v>
      </c>
      <c r="L195" s="11">
        <f>SUMIFS($D$2:$D195,$E$2:$E195,"2007-2018",$K$2:$K195,TRUE)/auxiliar!$B$3</f>
        <v>0.98827165155764729</v>
      </c>
      <c r="M195" s="11">
        <f>SUMIFS($D$2:$D195,$E$2:$E195,"2019-2024",$K$2:$K195,TRUE)/auxiliar!$B$4</f>
        <v>0</v>
      </c>
    </row>
    <row r="196" spans="1:13" x14ac:dyDescent="0.25">
      <c r="A196" t="s">
        <v>13</v>
      </c>
      <c r="B196" t="s">
        <v>29</v>
      </c>
      <c r="C196" t="s">
        <v>322</v>
      </c>
      <c r="D196" s="3">
        <v>49</v>
      </c>
      <c r="E196" t="s">
        <v>375</v>
      </c>
      <c r="F196" t="s">
        <v>366</v>
      </c>
      <c r="G196" s="6" t="s">
        <v>12</v>
      </c>
      <c r="H196" s="6" t="s">
        <v>23</v>
      </c>
      <c r="I196" s="6" t="s">
        <v>324</v>
      </c>
      <c r="K196" s="6" t="b">
        <v>1</v>
      </c>
      <c r="L196" s="11">
        <f>SUMIFS($D$2:$D196,$E$2:$E196,"2007-2018",$K$2:$K196,TRUE)/auxiliar!$B$3</f>
        <v>0.98827246369174271</v>
      </c>
      <c r="M196" s="11">
        <f>SUMIFS($D$2:$D196,$E$2:$E196,"2019-2024",$K$2:$K196,TRUE)/auxiliar!$B$4</f>
        <v>0</v>
      </c>
    </row>
    <row r="197" spans="1:13" x14ac:dyDescent="0.25">
      <c r="A197" t="s">
        <v>13</v>
      </c>
      <c r="B197" t="s">
        <v>34</v>
      </c>
      <c r="C197" t="s">
        <v>431</v>
      </c>
      <c r="D197" s="3">
        <v>47</v>
      </c>
      <c r="E197" t="s">
        <v>375</v>
      </c>
      <c r="F197" t="s">
        <v>366</v>
      </c>
      <c r="J197" s="10" t="s">
        <v>368</v>
      </c>
      <c r="K197" s="6" t="b">
        <v>0</v>
      </c>
      <c r="L197" s="11">
        <f>SUMIFS($D$2:$D197,$E$2:$E197,"2007-2018",$K$2:$K197,TRUE)/auxiliar!$B$3</f>
        <v>0.98827246369174271</v>
      </c>
      <c r="M197" s="11">
        <f>SUMIFS($D$2:$D197,$E$2:$E197,"2019-2024",$K$2:$K197,TRUE)/auxiliar!$B$4</f>
        <v>0</v>
      </c>
    </row>
    <row r="198" spans="1:13" x14ac:dyDescent="0.25">
      <c r="A198" t="s">
        <v>10</v>
      </c>
      <c r="B198" t="s">
        <v>26</v>
      </c>
      <c r="C198" t="s">
        <v>399</v>
      </c>
      <c r="D198" s="3">
        <v>46</v>
      </c>
      <c r="E198" t="s">
        <v>375</v>
      </c>
      <c r="F198" t="s">
        <v>366</v>
      </c>
      <c r="G198" s="6" t="s">
        <v>11</v>
      </c>
      <c r="H198" s="6" t="s">
        <v>21</v>
      </c>
      <c r="I198" s="6" t="s">
        <v>398</v>
      </c>
      <c r="J198" s="10"/>
      <c r="K198" s="6" t="b">
        <v>1</v>
      </c>
      <c r="L198" s="11">
        <f>SUMIFS($D$2:$D198,$E$2:$E198,"2007-2018",$K$2:$K198,TRUE)/auxiliar!$B$3</f>
        <v>0.98827322610334245</v>
      </c>
      <c r="M198" s="11">
        <f>SUMIFS($D$2:$D198,$E$2:$E198,"2019-2024",$K$2:$K198,TRUE)/auxiliar!$B$4</f>
        <v>0</v>
      </c>
    </row>
    <row r="199" spans="1:13" x14ac:dyDescent="0.25">
      <c r="A199" t="s">
        <v>13</v>
      </c>
      <c r="B199" t="s">
        <v>34</v>
      </c>
      <c r="C199" t="s">
        <v>414</v>
      </c>
      <c r="D199" s="3">
        <v>42.5</v>
      </c>
      <c r="E199" t="s">
        <v>375</v>
      </c>
      <c r="F199" t="s">
        <v>366</v>
      </c>
      <c r="J199" s="10" t="s">
        <v>368</v>
      </c>
      <c r="K199" s="6" t="b">
        <v>0</v>
      </c>
      <c r="L199" s="11">
        <f>SUMIFS($D$2:$D199,$E$2:$E199,"2007-2018",$K$2:$K199,TRUE)/auxiliar!$B$3</f>
        <v>0.98827322610334245</v>
      </c>
      <c r="M199" s="11">
        <f>SUMIFS($D$2:$D199,$E$2:$E199,"2019-2024",$K$2:$K199,TRUE)/auxiliar!$B$4</f>
        <v>0</v>
      </c>
    </row>
    <row r="200" spans="1:13" x14ac:dyDescent="0.25">
      <c r="A200" t="s">
        <v>13</v>
      </c>
      <c r="B200" t="s">
        <v>20</v>
      </c>
      <c r="C200" t="s">
        <v>419</v>
      </c>
      <c r="D200" s="3">
        <v>42</v>
      </c>
      <c r="E200" t="s">
        <v>375</v>
      </c>
      <c r="F200" t="s">
        <v>366</v>
      </c>
      <c r="J200" s="10" t="s">
        <v>368</v>
      </c>
      <c r="K200" s="6" t="b">
        <v>0</v>
      </c>
      <c r="L200" s="11">
        <f>SUMIFS($D$2:$D200,$E$2:$E200,"2007-2018",$K$2:$K200,TRUE)/auxiliar!$B$3</f>
        <v>0.98827322610334245</v>
      </c>
      <c r="M200" s="11">
        <f>SUMIFS($D$2:$D200,$E$2:$E200,"2019-2024",$K$2:$K200,TRUE)/auxiliar!$B$4</f>
        <v>0</v>
      </c>
    </row>
    <row r="201" spans="1:13" x14ac:dyDescent="0.25">
      <c r="A201" t="s">
        <v>13</v>
      </c>
      <c r="B201" t="s">
        <v>34</v>
      </c>
      <c r="C201" t="s">
        <v>326</v>
      </c>
      <c r="D201" s="3">
        <v>40.18</v>
      </c>
      <c r="E201" t="s">
        <v>375</v>
      </c>
      <c r="F201" t="s">
        <v>366</v>
      </c>
      <c r="G201" s="6" t="s">
        <v>11</v>
      </c>
      <c r="H201" s="6" t="s">
        <v>33</v>
      </c>
      <c r="I201" s="6" t="s">
        <v>337</v>
      </c>
      <c r="J201" s="10"/>
      <c r="K201" s="6" t="b">
        <v>1</v>
      </c>
      <c r="L201" s="11">
        <f>SUMIFS($D$2:$D201,$E$2:$E201,"2007-2018",$K$2:$K201,TRUE)/auxiliar!$B$3</f>
        <v>0.98827389205330074</v>
      </c>
      <c r="M201" s="11">
        <f>SUMIFS($D$2:$D201,$E$2:$E201,"2019-2024",$K$2:$K201,TRUE)/auxiliar!$B$4</f>
        <v>0</v>
      </c>
    </row>
    <row r="202" spans="1:13" x14ac:dyDescent="0.25">
      <c r="A202" t="s">
        <v>10</v>
      </c>
      <c r="B202" t="s">
        <v>34</v>
      </c>
      <c r="C202" t="s">
        <v>331</v>
      </c>
      <c r="D202" s="3">
        <v>34.299999999999997</v>
      </c>
      <c r="E202" t="s">
        <v>375</v>
      </c>
      <c r="F202" t="s">
        <v>366</v>
      </c>
      <c r="G202" s="6" t="s">
        <v>11</v>
      </c>
      <c r="H202" s="6" t="s">
        <v>33</v>
      </c>
      <c r="I202" s="6" t="s">
        <v>325</v>
      </c>
      <c r="K202" s="6" t="b">
        <v>1</v>
      </c>
      <c r="L202" s="11">
        <f>SUMIFS($D$2:$D202,$E$2:$E202,"2007-2018",$K$2:$K202,TRUE)/auxiliar!$B$3</f>
        <v>0.9882744605471675</v>
      </c>
      <c r="M202" s="11">
        <f>SUMIFS($D$2:$D202,$E$2:$E202,"2019-2024",$K$2:$K202,TRUE)/auxiliar!$B$4</f>
        <v>0</v>
      </c>
    </row>
    <row r="203" spans="1:13" x14ac:dyDescent="0.25">
      <c r="A203" t="s">
        <v>10</v>
      </c>
      <c r="B203" t="s">
        <v>32</v>
      </c>
      <c r="C203" t="s">
        <v>391</v>
      </c>
      <c r="D203" s="3">
        <v>32</v>
      </c>
      <c r="E203" t="s">
        <v>375</v>
      </c>
      <c r="F203" t="s">
        <v>366</v>
      </c>
      <c r="J203" s="10" t="s">
        <v>368</v>
      </c>
      <c r="K203" s="6" t="b">
        <v>0</v>
      </c>
      <c r="L203" s="11">
        <f>SUMIFS($D$2:$D203,$E$2:$E203,"2007-2018",$K$2:$K203,TRUE)/auxiliar!$B$3</f>
        <v>0.9882744605471675</v>
      </c>
      <c r="M203" s="11">
        <f>SUMIFS($D$2:$D203,$E$2:$E203,"2019-2024",$K$2:$K203,TRUE)/auxiliar!$B$4</f>
        <v>0</v>
      </c>
    </row>
    <row r="204" spans="1:13" x14ac:dyDescent="0.25">
      <c r="A204" t="s">
        <v>13</v>
      </c>
      <c r="B204" t="s">
        <v>34</v>
      </c>
      <c r="C204" t="s">
        <v>429</v>
      </c>
      <c r="D204" s="3">
        <v>27.5</v>
      </c>
      <c r="E204" t="s">
        <v>375</v>
      </c>
      <c r="F204" t="s">
        <v>366</v>
      </c>
      <c r="J204" s="10" t="s">
        <v>368</v>
      </c>
      <c r="K204" s="6" t="b">
        <v>0</v>
      </c>
      <c r="L204" s="11">
        <f>SUMIFS($D$2:$D204,$E$2:$E204,"2007-2018",$K$2:$K204,TRUE)/auxiliar!$B$3</f>
        <v>0.9882744605471675</v>
      </c>
      <c r="M204" s="11">
        <f>SUMIFS($D$2:$D204,$E$2:$E204,"2019-2024",$K$2:$K204,TRUE)/auxiliar!$B$4</f>
        <v>0</v>
      </c>
    </row>
    <row r="205" spans="1:13" x14ac:dyDescent="0.25">
      <c r="A205" t="s">
        <v>10</v>
      </c>
      <c r="B205" t="s">
        <v>26</v>
      </c>
      <c r="C205" t="s">
        <v>336</v>
      </c>
      <c r="D205" s="3">
        <v>27.5</v>
      </c>
      <c r="E205" t="s">
        <v>375</v>
      </c>
      <c r="F205" t="s">
        <v>366</v>
      </c>
      <c r="G205" s="6" t="s">
        <v>11</v>
      </c>
      <c r="H205" s="6" t="s">
        <v>21</v>
      </c>
      <c r="I205" s="6" t="s">
        <v>335</v>
      </c>
      <c r="K205" s="6" t="b">
        <v>1</v>
      </c>
      <c r="L205" s="11">
        <f>SUMIFS($D$2:$D205,$E$2:$E205,"2007-2018",$K$2:$K205,TRUE)/auxiliar!$B$3</f>
        <v>0.98827491633671083</v>
      </c>
      <c r="M205" s="11">
        <f>SUMIFS($D$2:$D205,$E$2:$E205,"2019-2024",$K$2:$K205,TRUE)/auxiliar!$B$4</f>
        <v>0</v>
      </c>
    </row>
    <row r="206" spans="1:13" x14ac:dyDescent="0.25">
      <c r="A206" t="s">
        <v>13</v>
      </c>
      <c r="B206" t="s">
        <v>34</v>
      </c>
      <c r="C206" t="s">
        <v>425</v>
      </c>
      <c r="D206" s="3">
        <v>24</v>
      </c>
      <c r="E206" t="s">
        <v>375</v>
      </c>
      <c r="F206" t="s">
        <v>366</v>
      </c>
      <c r="J206" s="10" t="s">
        <v>368</v>
      </c>
      <c r="K206" s="6" t="b">
        <v>0</v>
      </c>
      <c r="L206" s="11">
        <f>SUMIFS($D$2:$D206,$E$2:$E206,"2007-2018",$K$2:$K206,TRUE)/auxiliar!$B$3</f>
        <v>0.98827491633671083</v>
      </c>
      <c r="M206" s="11">
        <f>SUMIFS($D$2:$D206,$E$2:$E206,"2019-2024",$K$2:$K206,TRUE)/auxiliar!$B$4</f>
        <v>0</v>
      </c>
    </row>
    <row r="207" spans="1:13" x14ac:dyDescent="0.25">
      <c r="A207" t="s">
        <v>10</v>
      </c>
      <c r="B207" t="s">
        <v>26</v>
      </c>
      <c r="C207" t="s">
        <v>361</v>
      </c>
      <c r="D207" s="3">
        <v>24</v>
      </c>
      <c r="E207" t="s">
        <v>375</v>
      </c>
      <c r="F207" t="s">
        <v>366</v>
      </c>
      <c r="G207" s="6" t="s">
        <v>11</v>
      </c>
      <c r="H207" s="6" t="s">
        <v>21</v>
      </c>
      <c r="I207" s="6" t="s">
        <v>355</v>
      </c>
      <c r="K207" s="6" t="b">
        <v>1</v>
      </c>
      <c r="L207" s="11">
        <f>SUMIFS($D$2:$D207,$E$2:$E207,"2007-2018",$K$2:$K207,TRUE)/auxiliar!$B$3</f>
        <v>0.98827531411667591</v>
      </c>
      <c r="M207" s="11">
        <f>SUMIFS($D$2:$D207,$E$2:$E207,"2019-2024",$K$2:$K207,TRUE)/auxiliar!$B$4</f>
        <v>0</v>
      </c>
    </row>
    <row r="208" spans="1:13" x14ac:dyDescent="0.25">
      <c r="A208" t="s">
        <v>10</v>
      </c>
      <c r="B208" t="s">
        <v>26</v>
      </c>
      <c r="C208" t="s">
        <v>408</v>
      </c>
      <c r="D208" s="3">
        <v>23.015000000000001</v>
      </c>
      <c r="E208" t="s">
        <v>375</v>
      </c>
      <c r="F208" t="s">
        <v>366</v>
      </c>
      <c r="J208" s="10" t="s">
        <v>368</v>
      </c>
      <c r="K208" s="6" t="b">
        <v>0</v>
      </c>
      <c r="L208" s="11">
        <f>SUMIFS($D$2:$D208,$E$2:$E208,"2007-2018",$K$2:$K208,TRUE)/auxiliar!$B$3</f>
        <v>0.98827531411667591</v>
      </c>
      <c r="M208" s="11">
        <f>SUMIFS($D$2:$D208,$E$2:$E208,"2019-2024",$K$2:$K208,TRUE)/auxiliar!$B$4</f>
        <v>0</v>
      </c>
    </row>
    <row r="209" spans="1:13" x14ac:dyDescent="0.25">
      <c r="A209" t="s">
        <v>13</v>
      </c>
      <c r="B209" t="s">
        <v>34</v>
      </c>
      <c r="C209" t="s">
        <v>426</v>
      </c>
      <c r="D209" s="3">
        <v>22</v>
      </c>
      <c r="E209" t="s">
        <v>375</v>
      </c>
      <c r="F209" t="s">
        <v>366</v>
      </c>
      <c r="J209" s="10" t="s">
        <v>368</v>
      </c>
      <c r="K209" s="6" t="b">
        <v>0</v>
      </c>
      <c r="L209" s="11">
        <f>SUMIFS($D$2:$D209,$E$2:$E209,"2007-2018",$K$2:$K209,TRUE)/auxiliar!$B$3</f>
        <v>0.98827531411667591</v>
      </c>
      <c r="M209" s="11">
        <f>SUMIFS($D$2:$D209,$E$2:$E209,"2019-2024",$K$2:$K209,TRUE)/auxiliar!$B$4</f>
        <v>0</v>
      </c>
    </row>
    <row r="210" spans="1:13" x14ac:dyDescent="0.25">
      <c r="A210" t="s">
        <v>13</v>
      </c>
      <c r="B210" t="s">
        <v>34</v>
      </c>
      <c r="C210" t="s">
        <v>430</v>
      </c>
      <c r="D210" s="3">
        <v>21.9</v>
      </c>
      <c r="E210" t="s">
        <v>375</v>
      </c>
      <c r="F210" t="s">
        <v>366</v>
      </c>
      <c r="G210" s="6" t="s">
        <v>11</v>
      </c>
      <c r="H210" s="6" t="s">
        <v>33</v>
      </c>
      <c r="I210" s="6" t="s">
        <v>381</v>
      </c>
      <c r="J210" s="10"/>
      <c r="K210" s="6" t="b">
        <v>1</v>
      </c>
      <c r="L210" s="11">
        <f>SUMIFS($D$2:$D210,$E$2:$E210,"2007-2018",$K$2:$K210,TRUE)/auxiliar!$B$3</f>
        <v>0.98827567709089403</v>
      </c>
      <c r="M210" s="11">
        <f>SUMIFS($D$2:$D210,$E$2:$E210,"2019-2024",$K$2:$K210,TRUE)/auxiliar!$B$4</f>
        <v>0</v>
      </c>
    </row>
    <row r="211" spans="1:13" x14ac:dyDescent="0.25">
      <c r="A211" t="s">
        <v>10</v>
      </c>
      <c r="B211" t="s">
        <v>32</v>
      </c>
      <c r="C211" t="s">
        <v>362</v>
      </c>
      <c r="D211" s="3">
        <v>21</v>
      </c>
      <c r="E211" t="s">
        <v>375</v>
      </c>
      <c r="F211" t="s">
        <v>366</v>
      </c>
      <c r="J211" s="10" t="s">
        <v>368</v>
      </c>
      <c r="K211" s="6" t="b">
        <v>0</v>
      </c>
      <c r="L211" s="11">
        <f>SUMIFS($D$2:$D211,$E$2:$E211,"2007-2018",$K$2:$K211,TRUE)/auxiliar!$B$3</f>
        <v>0.98827567709089403</v>
      </c>
      <c r="M211" s="11">
        <f>SUMIFS($D$2:$D211,$E$2:$E211,"2019-2024",$K$2:$K211,TRUE)/auxiliar!$B$4</f>
        <v>0</v>
      </c>
    </row>
    <row r="212" spans="1:13" x14ac:dyDescent="0.25">
      <c r="A212" t="s">
        <v>10</v>
      </c>
      <c r="B212" t="s">
        <v>26</v>
      </c>
      <c r="C212" t="s">
        <v>400</v>
      </c>
      <c r="D212" s="3">
        <v>21</v>
      </c>
      <c r="E212" t="s">
        <v>375</v>
      </c>
      <c r="F212" t="s">
        <v>366</v>
      </c>
      <c r="J212" s="10" t="s">
        <v>368</v>
      </c>
      <c r="K212" s="6" t="b">
        <v>0</v>
      </c>
      <c r="L212" s="11">
        <f>SUMIFS($D$2:$D212,$E$2:$E212,"2007-2018",$K$2:$K212,TRUE)/auxiliar!$B$3</f>
        <v>0.98827567709089403</v>
      </c>
      <c r="M212" s="11">
        <f>SUMIFS($D$2:$D212,$E$2:$E212,"2019-2024",$K$2:$K212,TRUE)/auxiliar!$B$4</f>
        <v>0</v>
      </c>
    </row>
    <row r="213" spans="1:13" x14ac:dyDescent="0.25">
      <c r="A213" t="s">
        <v>13</v>
      </c>
      <c r="B213" t="s">
        <v>34</v>
      </c>
      <c r="C213" t="s">
        <v>352</v>
      </c>
      <c r="D213" s="3">
        <v>19.984999999999999</v>
      </c>
      <c r="E213" t="s">
        <v>375</v>
      </c>
      <c r="F213" t="s">
        <v>366</v>
      </c>
      <c r="G213" s="6" t="s">
        <v>11</v>
      </c>
      <c r="H213" s="6" t="s">
        <v>33</v>
      </c>
      <c r="I213" s="6" t="s">
        <v>333</v>
      </c>
      <c r="K213" s="6" t="b">
        <v>1</v>
      </c>
      <c r="L213" s="11">
        <f>SUMIFS($D$2:$D213,$E$2:$E213,"2007-2018",$K$2:$K213,TRUE)/auxiliar!$B$3</f>
        <v>0.98827600832558582</v>
      </c>
      <c r="M213" s="11">
        <f>SUMIFS($D$2:$D213,$E$2:$E213,"2019-2024",$K$2:$K213,TRUE)/auxiliar!$B$4</f>
        <v>0</v>
      </c>
    </row>
    <row r="214" spans="1:13" x14ac:dyDescent="0.25">
      <c r="A214" t="s">
        <v>14</v>
      </c>
      <c r="B214" t="s">
        <v>34</v>
      </c>
      <c r="C214" t="s">
        <v>356</v>
      </c>
      <c r="D214" s="3">
        <v>18.8</v>
      </c>
      <c r="E214" t="s">
        <v>375</v>
      </c>
      <c r="F214" t="s">
        <v>366</v>
      </c>
      <c r="G214" s="6" t="s">
        <v>12</v>
      </c>
      <c r="H214" s="6" t="s">
        <v>33</v>
      </c>
      <c r="I214" s="6" t="s">
        <v>340</v>
      </c>
      <c r="K214" s="6" t="b">
        <v>1</v>
      </c>
      <c r="L214" s="11">
        <f>SUMIFS($D$2:$D214,$E$2:$E214,"2007-2018",$K$2:$K214,TRUE)/auxiliar!$B$3</f>
        <v>0.98827631991989173</v>
      </c>
      <c r="M214" s="11">
        <f>SUMIFS($D$2:$D214,$E$2:$E214,"2019-2024",$K$2:$K214,TRUE)/auxiliar!$B$4</f>
        <v>0</v>
      </c>
    </row>
    <row r="215" spans="1:13" x14ac:dyDescent="0.25">
      <c r="A215" t="s">
        <v>10</v>
      </c>
      <c r="B215" t="s">
        <v>26</v>
      </c>
      <c r="C215" t="s">
        <v>402</v>
      </c>
      <c r="D215" s="3">
        <v>17</v>
      </c>
      <c r="E215" t="s">
        <v>375</v>
      </c>
      <c r="F215" t="s">
        <v>366</v>
      </c>
      <c r="G215" s="6" t="s">
        <v>11</v>
      </c>
      <c r="H215" s="6" t="s">
        <v>21</v>
      </c>
      <c r="I215" s="6" t="s">
        <v>401</v>
      </c>
      <c r="J215" s="10"/>
      <c r="K215" s="6" t="b">
        <v>1</v>
      </c>
      <c r="L215" s="11">
        <f>SUMIFS($D$2:$D215,$E$2:$E215,"2007-2018",$K$2:$K215,TRUE)/auxiliar!$B$3</f>
        <v>0.98827660168070031</v>
      </c>
      <c r="M215" s="11">
        <f>SUMIFS($D$2:$D215,$E$2:$E215,"2019-2024",$K$2:$K215,TRUE)/auxiliar!$B$4</f>
        <v>0</v>
      </c>
    </row>
    <row r="216" spans="1:13" x14ac:dyDescent="0.25">
      <c r="A216" t="s">
        <v>10</v>
      </c>
      <c r="B216" t="s">
        <v>32</v>
      </c>
      <c r="C216" t="s">
        <v>389</v>
      </c>
      <c r="D216" s="3">
        <v>16.7</v>
      </c>
      <c r="E216" t="s">
        <v>375</v>
      </c>
      <c r="F216" t="s">
        <v>366</v>
      </c>
      <c r="J216" s="10" t="s">
        <v>368</v>
      </c>
      <c r="K216" s="6" t="b">
        <v>0</v>
      </c>
      <c r="L216" s="11">
        <f>SUMIFS($D$2:$D216,$E$2:$E216,"2007-2018",$K$2:$K216,TRUE)/auxiliar!$B$3</f>
        <v>0.98827660168070031</v>
      </c>
      <c r="M216" s="11">
        <f>SUMIFS($D$2:$D216,$E$2:$E216,"2019-2024",$K$2:$K216,TRUE)/auxiliar!$B$4</f>
        <v>0</v>
      </c>
    </row>
    <row r="217" spans="1:13" x14ac:dyDescent="0.25">
      <c r="A217" t="s">
        <v>10</v>
      </c>
      <c r="B217" t="s">
        <v>34</v>
      </c>
      <c r="C217" t="s">
        <v>416</v>
      </c>
      <c r="D217" s="3">
        <v>16.7</v>
      </c>
      <c r="E217" t="s">
        <v>375</v>
      </c>
      <c r="F217" t="s">
        <v>366</v>
      </c>
      <c r="G217" s="6" t="s">
        <v>11</v>
      </c>
      <c r="H217" s="6" t="s">
        <v>33</v>
      </c>
      <c r="I217" s="6" t="s">
        <v>382</v>
      </c>
      <c r="J217" s="10"/>
      <c r="K217" s="6" t="b">
        <v>1</v>
      </c>
      <c r="L217" s="11">
        <f>SUMIFS($D$2:$D217,$E$2:$E217,"2007-2018",$K$2:$K217,TRUE)/auxiliar!$B$3</f>
        <v>0.98827687846925938</v>
      </c>
      <c r="M217" s="11">
        <f>SUMIFS($D$2:$D217,$E$2:$E217,"2019-2024",$K$2:$K217,TRUE)/auxiliar!$B$4</f>
        <v>0</v>
      </c>
    </row>
    <row r="218" spans="1:13" x14ac:dyDescent="0.25">
      <c r="A218" t="s">
        <v>13</v>
      </c>
      <c r="B218" t="s">
        <v>35</v>
      </c>
      <c r="C218" t="s">
        <v>332</v>
      </c>
      <c r="D218" s="3">
        <v>15.33</v>
      </c>
      <c r="E218" t="s">
        <v>375</v>
      </c>
      <c r="F218" t="s">
        <v>366</v>
      </c>
      <c r="J218" s="10" t="s">
        <v>368</v>
      </c>
      <c r="K218" s="6" t="b">
        <v>0</v>
      </c>
      <c r="L218" s="11">
        <f>SUMIFS($D$2:$D218,$E$2:$E218,"2007-2018",$K$2:$K218,TRUE)/auxiliar!$B$3</f>
        <v>0.98827687846925938</v>
      </c>
      <c r="M218" s="11">
        <f>SUMIFS($D$2:$D218,$E$2:$E218,"2019-2024",$K$2:$K218,TRUE)/auxiliar!$B$4</f>
        <v>0</v>
      </c>
    </row>
    <row r="219" spans="1:13" x14ac:dyDescent="0.25">
      <c r="A219" t="s">
        <v>14</v>
      </c>
      <c r="B219" t="s">
        <v>22</v>
      </c>
      <c r="C219" t="s">
        <v>376</v>
      </c>
      <c r="D219" s="3">
        <v>15</v>
      </c>
      <c r="E219" t="s">
        <v>375</v>
      </c>
      <c r="F219" t="s">
        <v>366</v>
      </c>
      <c r="J219" s="10" t="s">
        <v>368</v>
      </c>
      <c r="K219" s="6" t="b">
        <v>0</v>
      </c>
      <c r="L219" s="11">
        <f>SUMIFS($D$2:$D219,$E$2:$E219,"2007-2018",$K$2:$K219,TRUE)/auxiliar!$B$3</f>
        <v>0.98827687846925938</v>
      </c>
      <c r="M219" s="11">
        <f>SUMIFS($D$2:$D219,$E$2:$E219,"2019-2024",$K$2:$K219,TRUE)/auxiliar!$B$4</f>
        <v>0</v>
      </c>
    </row>
    <row r="220" spans="1:13" x14ac:dyDescent="0.25">
      <c r="A220" t="s">
        <v>13</v>
      </c>
      <c r="B220" t="s">
        <v>34</v>
      </c>
      <c r="C220" t="s">
        <v>313</v>
      </c>
      <c r="D220" s="3">
        <v>14</v>
      </c>
      <c r="E220" t="s">
        <v>375</v>
      </c>
      <c r="F220" t="s">
        <v>366</v>
      </c>
      <c r="G220" s="6" t="s">
        <v>11</v>
      </c>
      <c r="H220" s="6" t="s">
        <v>23</v>
      </c>
      <c r="I220" s="6" t="s">
        <v>302</v>
      </c>
      <c r="J220" s="10"/>
      <c r="K220" s="6" t="b">
        <v>1</v>
      </c>
      <c r="L220" s="11">
        <f>SUMIFS($D$2:$D220,$E$2:$E220,"2007-2018",$K$2:$K220,TRUE)/auxiliar!$B$3</f>
        <v>0.98827711050757239</v>
      </c>
      <c r="M220" s="11">
        <f>SUMIFS($D$2:$D220,$E$2:$E220,"2019-2024",$K$2:$K220,TRUE)/auxiliar!$B$4</f>
        <v>0</v>
      </c>
    </row>
    <row r="221" spans="1:13" x14ac:dyDescent="0.25">
      <c r="A221" t="s">
        <v>10</v>
      </c>
      <c r="B221" t="s">
        <v>26</v>
      </c>
      <c r="C221" t="s">
        <v>393</v>
      </c>
      <c r="D221" s="3">
        <v>13</v>
      </c>
      <c r="E221" t="s">
        <v>375</v>
      </c>
      <c r="F221" t="s">
        <v>366</v>
      </c>
      <c r="J221" s="10" t="s">
        <v>368</v>
      </c>
      <c r="K221" s="6" t="b">
        <v>0</v>
      </c>
      <c r="L221" s="11">
        <f>SUMIFS($D$2:$D221,$E$2:$E221,"2007-2018",$K$2:$K221,TRUE)/auxiliar!$B$3</f>
        <v>0.98827711050757239</v>
      </c>
      <c r="M221" s="11">
        <f>SUMIFS($D$2:$D221,$E$2:$E221,"2019-2024",$K$2:$K221,TRUE)/auxiliar!$B$4</f>
        <v>0</v>
      </c>
    </row>
    <row r="222" spans="1:13" x14ac:dyDescent="0.25">
      <c r="A222" t="s">
        <v>13</v>
      </c>
      <c r="B222" t="s">
        <v>34</v>
      </c>
      <c r="C222" t="s">
        <v>427</v>
      </c>
      <c r="D222" s="3">
        <v>12</v>
      </c>
      <c r="E222" t="s">
        <v>375</v>
      </c>
      <c r="F222" t="s">
        <v>366</v>
      </c>
      <c r="J222" s="10" t="s">
        <v>368</v>
      </c>
      <c r="K222" s="6" t="b">
        <v>0</v>
      </c>
      <c r="L222" s="11">
        <f>SUMIFS($D$2:$D222,$E$2:$E222,"2007-2018",$K$2:$K222,TRUE)/auxiliar!$B$3</f>
        <v>0.98827711050757239</v>
      </c>
      <c r="M222" s="11">
        <f>SUMIFS($D$2:$D222,$E$2:$E222,"2019-2024",$K$2:$K222,TRUE)/auxiliar!$B$4</f>
        <v>0</v>
      </c>
    </row>
    <row r="223" spans="1:13" x14ac:dyDescent="0.25">
      <c r="A223" t="s">
        <v>10</v>
      </c>
      <c r="B223" t="s">
        <v>30</v>
      </c>
      <c r="C223" t="s">
        <v>385</v>
      </c>
      <c r="D223" s="3">
        <v>12</v>
      </c>
      <c r="E223" t="s">
        <v>375</v>
      </c>
      <c r="F223" t="s">
        <v>366</v>
      </c>
      <c r="J223" s="10" t="s">
        <v>368</v>
      </c>
      <c r="K223" s="6" t="b">
        <v>0</v>
      </c>
      <c r="L223" s="11">
        <f>SUMIFS($D$2:$D223,$E$2:$E223,"2007-2018",$K$2:$K223,TRUE)/auxiliar!$B$3</f>
        <v>0.98827711050757239</v>
      </c>
      <c r="M223" s="11">
        <f>SUMIFS($D$2:$D223,$E$2:$E223,"2019-2024",$K$2:$K223,TRUE)/auxiliar!$B$4</f>
        <v>0</v>
      </c>
    </row>
    <row r="224" spans="1:13" x14ac:dyDescent="0.25">
      <c r="A224" t="s">
        <v>10</v>
      </c>
      <c r="B224" t="s">
        <v>34</v>
      </c>
      <c r="C224" t="s">
        <v>352</v>
      </c>
      <c r="D224" s="3">
        <v>10</v>
      </c>
      <c r="E224" t="s">
        <v>375</v>
      </c>
      <c r="F224" t="s">
        <v>366</v>
      </c>
      <c r="G224" s="6" t="s">
        <v>11</v>
      </c>
      <c r="H224" s="6" t="s">
        <v>33</v>
      </c>
      <c r="I224" s="6" t="s">
        <v>333</v>
      </c>
      <c r="K224" s="6" t="b">
        <v>1</v>
      </c>
      <c r="L224" s="11">
        <f>SUMIFS($D$2:$D224,$E$2:$E224,"2007-2018",$K$2:$K224,TRUE)/auxiliar!$B$3</f>
        <v>0.98827727624922457</v>
      </c>
      <c r="M224" s="11">
        <f>SUMIFS($D$2:$D224,$E$2:$E224,"2019-2024",$K$2:$K224,TRUE)/auxiliar!$B$4</f>
        <v>0</v>
      </c>
    </row>
    <row r="225" spans="1:13" x14ac:dyDescent="0.25">
      <c r="A225" t="s">
        <v>10</v>
      </c>
      <c r="B225" t="s">
        <v>34</v>
      </c>
      <c r="C225" t="s">
        <v>280</v>
      </c>
      <c r="D225" s="3">
        <v>10</v>
      </c>
      <c r="E225" t="s">
        <v>375</v>
      </c>
      <c r="F225" t="s">
        <v>366</v>
      </c>
      <c r="G225" s="6" t="s">
        <v>11</v>
      </c>
      <c r="H225" s="6" t="s">
        <v>33</v>
      </c>
      <c r="I225" s="6" t="s">
        <v>303</v>
      </c>
      <c r="J225" s="10"/>
      <c r="K225" s="6" t="b">
        <v>1</v>
      </c>
      <c r="L225" s="11">
        <f>SUMIFS($D$2:$D225,$E$2:$E225,"2007-2018",$K$2:$K225,TRUE)/auxiliar!$B$3</f>
        <v>0.98827744199087664</v>
      </c>
      <c r="M225" s="11">
        <f>SUMIFS($D$2:$D225,$E$2:$E225,"2019-2024",$K$2:$K225,TRUE)/auxiliar!$B$4</f>
        <v>0</v>
      </c>
    </row>
    <row r="226" spans="1:13" x14ac:dyDescent="0.25">
      <c r="A226" t="s">
        <v>13</v>
      </c>
      <c r="B226" t="s">
        <v>34</v>
      </c>
      <c r="C226" t="s">
        <v>356</v>
      </c>
      <c r="D226" s="3">
        <v>9</v>
      </c>
      <c r="E226" t="s">
        <v>375</v>
      </c>
      <c r="F226" t="s">
        <v>366</v>
      </c>
      <c r="J226" s="10" t="s">
        <v>368</v>
      </c>
      <c r="K226" s="6" t="b">
        <v>0</v>
      </c>
      <c r="L226" s="11">
        <f>SUMIFS($D$2:$D226,$E$2:$E226,"2007-2018",$K$2:$K226,TRUE)/auxiliar!$B$3</f>
        <v>0.98827744199087664</v>
      </c>
      <c r="M226" s="11">
        <f>SUMIFS($D$2:$D226,$E$2:$E226,"2019-2024",$K$2:$K226,TRUE)/auxiliar!$B$4</f>
        <v>0</v>
      </c>
    </row>
    <row r="227" spans="1:13" x14ac:dyDescent="0.25">
      <c r="A227" t="s">
        <v>10</v>
      </c>
      <c r="B227" t="s">
        <v>35</v>
      </c>
      <c r="C227" t="s">
        <v>332</v>
      </c>
      <c r="D227" s="3">
        <v>7.73</v>
      </c>
      <c r="E227" t="s">
        <v>375</v>
      </c>
      <c r="F227" t="s">
        <v>366</v>
      </c>
      <c r="J227" s="10" t="s">
        <v>368</v>
      </c>
      <c r="K227" s="6" t="b">
        <v>0</v>
      </c>
      <c r="L227" s="11">
        <f>SUMIFS($D$2:$D227,$E$2:$E227,"2007-2018",$K$2:$K227,TRUE)/auxiliar!$B$3</f>
        <v>0.98827744199087664</v>
      </c>
      <c r="M227" s="11">
        <f>SUMIFS($D$2:$D227,$E$2:$E227,"2019-2024",$K$2:$K227,TRUE)/auxiliar!$B$4</f>
        <v>0</v>
      </c>
    </row>
    <row r="228" spans="1:13" x14ac:dyDescent="0.25">
      <c r="A228" t="s">
        <v>10</v>
      </c>
      <c r="B228" t="s">
        <v>32</v>
      </c>
      <c r="C228" t="s">
        <v>363</v>
      </c>
      <c r="D228" s="3">
        <v>6.3</v>
      </c>
      <c r="E228" t="s">
        <v>375</v>
      </c>
      <c r="F228" t="s">
        <v>366</v>
      </c>
      <c r="J228" s="10" t="s">
        <v>368</v>
      </c>
      <c r="K228" s="6" t="b">
        <v>0</v>
      </c>
      <c r="L228" s="11">
        <f>SUMIFS($D$2:$D228,$E$2:$E228,"2007-2018",$K$2:$K228,TRUE)/auxiliar!$B$3</f>
        <v>0.98827744199087664</v>
      </c>
      <c r="M228" s="11">
        <f>SUMIFS($D$2:$D228,$E$2:$E228,"2019-2024",$K$2:$K228,TRUE)/auxiliar!$B$4</f>
        <v>0</v>
      </c>
    </row>
    <row r="229" spans="1:13" x14ac:dyDescent="0.25">
      <c r="A229" t="s">
        <v>10</v>
      </c>
      <c r="B229" t="s">
        <v>32</v>
      </c>
      <c r="C229" t="s">
        <v>365</v>
      </c>
      <c r="D229" s="3">
        <v>6</v>
      </c>
      <c r="E229" t="s">
        <v>375</v>
      </c>
      <c r="F229" t="s">
        <v>366</v>
      </c>
      <c r="J229" s="10" t="s">
        <v>368</v>
      </c>
      <c r="K229" s="6" t="b">
        <v>0</v>
      </c>
      <c r="L229" s="11">
        <f>SUMIFS($D$2:$D229,$E$2:$E229,"2007-2018",$K$2:$K229,TRUE)/auxiliar!$B$3</f>
        <v>0.98827744199087664</v>
      </c>
      <c r="M229" s="11">
        <f>SUMIFS($D$2:$D229,$E$2:$E229,"2019-2024",$K$2:$K229,TRUE)/auxiliar!$B$4</f>
        <v>0</v>
      </c>
    </row>
    <row r="230" spans="1:13" x14ac:dyDescent="0.25">
      <c r="A230" t="s">
        <v>10</v>
      </c>
      <c r="B230" t="s">
        <v>26</v>
      </c>
      <c r="C230" t="s">
        <v>394</v>
      </c>
      <c r="D230" s="3">
        <v>5</v>
      </c>
      <c r="E230" t="s">
        <v>375</v>
      </c>
      <c r="F230" t="s">
        <v>366</v>
      </c>
      <c r="J230" s="10" t="s">
        <v>368</v>
      </c>
      <c r="K230" s="6" t="b">
        <v>0</v>
      </c>
      <c r="L230" s="11">
        <f>SUMIFS($D$2:$D230,$E$2:$E230,"2007-2018",$K$2:$K230,TRUE)/auxiliar!$B$3</f>
        <v>0.98827744199087664</v>
      </c>
      <c r="M230" s="11">
        <f>SUMIFS($D$2:$D230,$E$2:$E230,"2019-2024",$K$2:$K230,TRUE)/auxiliar!$B$4</f>
        <v>0</v>
      </c>
    </row>
    <row r="231" spans="1:13" x14ac:dyDescent="0.25">
      <c r="A231" t="s">
        <v>10</v>
      </c>
      <c r="B231" t="s">
        <v>34</v>
      </c>
      <c r="C231" t="s">
        <v>412</v>
      </c>
      <c r="D231" s="3">
        <v>5</v>
      </c>
      <c r="E231" t="s">
        <v>375</v>
      </c>
      <c r="F231" t="s">
        <v>366</v>
      </c>
      <c r="J231" s="10" t="s">
        <v>368</v>
      </c>
      <c r="K231" s="6" t="b">
        <v>0</v>
      </c>
      <c r="L231" s="11">
        <f>SUMIFS($D$2:$D231,$E$2:$E231,"2007-2018",$K$2:$K231,TRUE)/auxiliar!$B$3</f>
        <v>0.98827744199087664</v>
      </c>
      <c r="M231" s="11">
        <f>SUMIFS($D$2:$D231,$E$2:$E231,"2019-2024",$K$2:$K231,TRUE)/auxiliar!$B$4</f>
        <v>0</v>
      </c>
    </row>
    <row r="232" spans="1:13" x14ac:dyDescent="0.25">
      <c r="A232" t="s">
        <v>10</v>
      </c>
      <c r="B232" t="s">
        <v>32</v>
      </c>
      <c r="C232" t="s">
        <v>388</v>
      </c>
      <c r="D232" s="3">
        <v>4.9000000000000004</v>
      </c>
      <c r="E232" t="s">
        <v>375</v>
      </c>
      <c r="F232" t="s">
        <v>366</v>
      </c>
      <c r="J232" s="10" t="s">
        <v>368</v>
      </c>
      <c r="K232" s="6" t="b">
        <v>0</v>
      </c>
      <c r="L232" s="11">
        <f>SUMIFS($D$2:$D232,$E$2:$E232,"2007-2018",$K$2:$K232,TRUE)/auxiliar!$B$3</f>
        <v>0.98827744199087664</v>
      </c>
      <c r="M232" s="11">
        <f>SUMIFS($D$2:$D232,$E$2:$E232,"2019-2024",$K$2:$K232,TRUE)/auxiliar!$B$4</f>
        <v>0</v>
      </c>
    </row>
    <row r="233" spans="1:13" x14ac:dyDescent="0.25">
      <c r="A233" t="s">
        <v>10</v>
      </c>
      <c r="B233" t="s">
        <v>34</v>
      </c>
      <c r="C233" t="s">
        <v>359</v>
      </c>
      <c r="D233" s="3">
        <v>4.5</v>
      </c>
      <c r="E233" t="s">
        <v>375</v>
      </c>
      <c r="F233" t="s">
        <v>366</v>
      </c>
      <c r="G233" s="6" t="s">
        <v>11</v>
      </c>
      <c r="H233" s="6" t="s">
        <v>33</v>
      </c>
      <c r="I233" s="6" t="s">
        <v>351</v>
      </c>
      <c r="K233" s="6" t="b">
        <v>1</v>
      </c>
      <c r="L233" s="11">
        <f>SUMIFS($D$2:$D233,$E$2:$E233,"2007-2018",$K$2:$K233,TRUE)/auxiliar!$B$3</f>
        <v>0.98827751657462015</v>
      </c>
      <c r="M233" s="11">
        <f>SUMIFS($D$2:$D233,$E$2:$E233,"2019-2024",$K$2:$K233,TRUE)/auxiliar!$B$4</f>
        <v>0</v>
      </c>
    </row>
    <row r="234" spans="1:13" x14ac:dyDescent="0.25">
      <c r="A234" t="s">
        <v>13</v>
      </c>
      <c r="B234" t="s">
        <v>25</v>
      </c>
      <c r="C234" t="s">
        <v>424</v>
      </c>
      <c r="D234" s="3">
        <v>3</v>
      </c>
      <c r="E234" t="s">
        <v>375</v>
      </c>
      <c r="F234" t="s">
        <v>366</v>
      </c>
      <c r="J234" s="10" t="s">
        <v>368</v>
      </c>
      <c r="K234" s="6" t="b">
        <v>0</v>
      </c>
      <c r="L234" s="11">
        <f>SUMIFS($D$2:$D234,$E$2:$E234,"2007-2018",$K$2:$K234,TRUE)/auxiliar!$B$3</f>
        <v>0.98827751657462015</v>
      </c>
      <c r="M234" s="11">
        <f>SUMIFS($D$2:$D234,$E$2:$E234,"2019-2024",$K$2:$K234,TRUE)/auxiliar!$B$4</f>
        <v>0</v>
      </c>
    </row>
    <row r="235" spans="1:13" x14ac:dyDescent="0.25">
      <c r="A235" t="s">
        <v>10</v>
      </c>
      <c r="B235" t="s">
        <v>35</v>
      </c>
      <c r="C235" t="s">
        <v>409</v>
      </c>
      <c r="D235" s="3">
        <v>2.5</v>
      </c>
      <c r="E235" t="s">
        <v>375</v>
      </c>
      <c r="F235" t="s">
        <v>366</v>
      </c>
      <c r="J235" s="10" t="s">
        <v>368</v>
      </c>
      <c r="K235" s="6" t="b">
        <v>0</v>
      </c>
      <c r="L235" s="11">
        <f>SUMIFS($D$2:$D235,$E$2:$E235,"2007-2018",$K$2:$K235,TRUE)/auxiliar!$B$3</f>
        <v>0.98827751657462015</v>
      </c>
      <c r="M235" s="11">
        <f>SUMIFS($D$2:$D235,$E$2:$E235,"2019-2024",$K$2:$K235,TRUE)/auxiliar!$B$4</f>
        <v>0</v>
      </c>
    </row>
    <row r="236" spans="1:13" x14ac:dyDescent="0.25">
      <c r="A236" t="s">
        <v>10</v>
      </c>
      <c r="B236" t="s">
        <v>32</v>
      </c>
      <c r="C236" t="s">
        <v>390</v>
      </c>
      <c r="D236" s="3">
        <v>2</v>
      </c>
      <c r="E236" t="s">
        <v>375</v>
      </c>
      <c r="F236" t="s">
        <v>366</v>
      </c>
      <c r="J236" s="10" t="s">
        <v>368</v>
      </c>
      <c r="K236" s="6" t="b">
        <v>0</v>
      </c>
      <c r="L236" s="11">
        <f>SUMIFS($D$2:$D236,$E$2:$E236,"2007-2018",$K$2:$K236,TRUE)/auxiliar!$B$3</f>
        <v>0.98827751657462015</v>
      </c>
      <c r="M236" s="11">
        <f>SUMIFS($D$2:$D236,$E$2:$E236,"2019-2024",$K$2:$K236,TRUE)/auxiliar!$B$4</f>
        <v>0</v>
      </c>
    </row>
    <row r="237" spans="1:13" x14ac:dyDescent="0.25">
      <c r="A237" t="s">
        <v>13</v>
      </c>
      <c r="B237" t="s">
        <v>35</v>
      </c>
      <c r="C237" t="s">
        <v>409</v>
      </c>
      <c r="D237" s="3">
        <v>2</v>
      </c>
      <c r="E237" t="s">
        <v>375</v>
      </c>
      <c r="F237" t="s">
        <v>366</v>
      </c>
      <c r="J237" s="10" t="s">
        <v>368</v>
      </c>
      <c r="K237" s="6" t="b">
        <v>0</v>
      </c>
      <c r="L237" s="11">
        <f>SUMIFS($D$2:$D237,$E$2:$E237,"2007-2018",$K$2:$K237,TRUE)/auxiliar!$B$3</f>
        <v>0.98827751657462015</v>
      </c>
      <c r="M237" s="11">
        <f>SUMIFS($D$2:$D237,$E$2:$E237,"2019-2024",$K$2:$K237,TRUE)/auxiliar!$B$4</f>
        <v>0</v>
      </c>
    </row>
    <row r="238" spans="1:13" x14ac:dyDescent="0.25">
      <c r="A238" t="s">
        <v>10</v>
      </c>
      <c r="B238" t="s">
        <v>34</v>
      </c>
      <c r="C238" t="s">
        <v>417</v>
      </c>
      <c r="D238" s="3">
        <v>2</v>
      </c>
      <c r="E238" t="s">
        <v>375</v>
      </c>
      <c r="F238" t="s">
        <v>366</v>
      </c>
      <c r="J238" s="10" t="s">
        <v>368</v>
      </c>
      <c r="K238" s="6" t="b">
        <v>0</v>
      </c>
      <c r="L238" s="11">
        <f>SUMIFS($D$2:$D238,$E$2:$E238,"2007-2018",$K$2:$K238,TRUE)/auxiliar!$B$3</f>
        <v>0.98827751657462015</v>
      </c>
      <c r="M238" s="11">
        <f>SUMIFS($D$2:$D238,$E$2:$E238,"2019-2024",$K$2:$K238,TRUE)/auxiliar!$B$4</f>
        <v>0</v>
      </c>
    </row>
    <row r="239" spans="1:13" x14ac:dyDescent="0.25">
      <c r="A239" t="s">
        <v>13</v>
      </c>
      <c r="B239" t="s">
        <v>29</v>
      </c>
      <c r="C239" t="s">
        <v>422</v>
      </c>
      <c r="D239" s="3">
        <v>1.3</v>
      </c>
      <c r="E239" t="s">
        <v>375</v>
      </c>
      <c r="F239" t="s">
        <v>366</v>
      </c>
      <c r="G239" s="6" t="s">
        <v>12</v>
      </c>
      <c r="H239" s="6" t="s">
        <v>28</v>
      </c>
      <c r="I239" s="6" t="s">
        <v>421</v>
      </c>
      <c r="J239" s="10"/>
      <c r="K239" s="6" t="b">
        <v>1</v>
      </c>
      <c r="L239" s="11">
        <f>SUMIFS($D$2:$D239,$E$2:$E239,"2007-2018",$K$2:$K239,TRUE)/auxiliar!$B$3</f>
        <v>0.9882775381210348</v>
      </c>
      <c r="M239" s="11">
        <f>SUMIFS($D$2:$D239,$E$2:$E239,"2019-2024",$K$2:$K239,TRUE)/auxiliar!$B$4</f>
        <v>0</v>
      </c>
    </row>
    <row r="240" spans="1:13" x14ac:dyDescent="0.25">
      <c r="A240" t="s">
        <v>10</v>
      </c>
      <c r="B240" t="s">
        <v>34</v>
      </c>
      <c r="C240" t="s">
        <v>296</v>
      </c>
      <c r="D240" s="3">
        <v>1</v>
      </c>
      <c r="E240" t="s">
        <v>375</v>
      </c>
      <c r="F240" t="s">
        <v>366</v>
      </c>
      <c r="J240" s="10" t="s">
        <v>368</v>
      </c>
      <c r="K240" s="6" t="b">
        <v>0</v>
      </c>
      <c r="L240" s="11">
        <f>SUMIFS($D$2:$D240,$E$2:$E240,"2007-2018",$K$2:$K240,TRUE)/auxiliar!$B$3</f>
        <v>0.9882775381210348</v>
      </c>
      <c r="M240" s="11">
        <f>SUMIFS($D$2:$D240,$E$2:$E240,"2019-2024",$K$2:$K240,TRUE)/auxiliar!$B$4</f>
        <v>0</v>
      </c>
    </row>
    <row r="241" spans="1:14" x14ac:dyDescent="0.25">
      <c r="A241" t="s">
        <v>10</v>
      </c>
      <c r="B241" t="s">
        <v>34</v>
      </c>
      <c r="C241" t="s">
        <v>298</v>
      </c>
      <c r="D241" s="3">
        <v>1</v>
      </c>
      <c r="E241" t="s">
        <v>375</v>
      </c>
      <c r="F241" t="s">
        <v>366</v>
      </c>
      <c r="G241" s="6" t="s">
        <v>12</v>
      </c>
      <c r="H241" s="6" t="s">
        <v>33</v>
      </c>
      <c r="I241" s="6" t="s">
        <v>288</v>
      </c>
      <c r="J241" s="10"/>
      <c r="K241" s="6" t="b">
        <v>1</v>
      </c>
      <c r="L241" s="11">
        <f>SUMIFS($D$2:$D241,$E$2:$E241,"2007-2018",$K$2:$K241,TRUE)/auxiliar!$B$3</f>
        <v>0.98827755469520007</v>
      </c>
      <c r="M241" s="11">
        <f>SUMIFS($D$2:$D241,$E$2:$E241,"2019-2024",$K$2:$K241,TRUE)/auxiliar!$B$4</f>
        <v>0</v>
      </c>
    </row>
    <row r="242" spans="1:14" x14ac:dyDescent="0.25">
      <c r="A242" t="s">
        <v>10</v>
      </c>
      <c r="B242" t="s">
        <v>34</v>
      </c>
      <c r="C242" t="s">
        <v>413</v>
      </c>
      <c r="D242" s="3">
        <v>0.84000000000000008</v>
      </c>
      <c r="E242" t="s">
        <v>375</v>
      </c>
      <c r="F242" t="s">
        <v>366</v>
      </c>
      <c r="J242" s="10" t="s">
        <v>368</v>
      </c>
      <c r="K242" s="6" t="b">
        <v>0</v>
      </c>
      <c r="L242" s="11">
        <f>SUMIFS($D$2:$D242,$E$2:$E242,"2007-2018",$K$2:$K242,TRUE)/auxiliar!$B$3</f>
        <v>0.98827755469520007</v>
      </c>
      <c r="M242" s="11">
        <f>SUMIFS($D$2:$D242,$E$2:$E242,"2019-2024",$K$2:$K242,TRUE)/auxiliar!$B$4</f>
        <v>0</v>
      </c>
    </row>
    <row r="243" spans="1:14" x14ac:dyDescent="0.25">
      <c r="A243" t="s">
        <v>14</v>
      </c>
      <c r="B243" t="s">
        <v>29</v>
      </c>
      <c r="C243" t="s">
        <v>279</v>
      </c>
      <c r="D243" s="3">
        <v>0.1</v>
      </c>
      <c r="E243" t="s">
        <v>375</v>
      </c>
      <c r="F243" t="s">
        <v>366</v>
      </c>
      <c r="G243" s="9"/>
      <c r="H243" s="9"/>
      <c r="I243" s="9"/>
      <c r="J243" s="9" t="s">
        <v>368</v>
      </c>
      <c r="K243" s="5" t="b">
        <v>0</v>
      </c>
      <c r="L243" s="11">
        <f>SUMIFS($D$2:$D243,$E$2:$E243,"2007-2018",$K$2:$K243,TRUE)/auxiliar!$B$3</f>
        <v>0.98827755469520007</v>
      </c>
      <c r="M243" s="11">
        <f>SUMIFS($D$2:$D243,$E$2:$E243,"2019-2024",$K$2:$K243,TRUE)/auxiliar!$B$4</f>
        <v>0</v>
      </c>
    </row>
    <row r="244" spans="1:14" x14ac:dyDescent="0.25">
      <c r="A244" t="s">
        <v>13</v>
      </c>
      <c r="B244" t="s">
        <v>34</v>
      </c>
      <c r="C244" t="s">
        <v>428</v>
      </c>
      <c r="D244" s="3">
        <v>1.6E-2</v>
      </c>
      <c r="E244" t="s">
        <v>375</v>
      </c>
      <c r="F244" t="s">
        <v>366</v>
      </c>
      <c r="J244" s="10" t="s">
        <v>368</v>
      </c>
      <c r="K244" s="6" t="b">
        <v>0</v>
      </c>
      <c r="L244" s="11">
        <f>SUMIFS($D$2:$D244,$E$2:$E244,"2007-2018",$K$2:$K244,TRUE)/auxiliar!$B$3</f>
        <v>0.98827755469520007</v>
      </c>
      <c r="M244" s="11">
        <f>SUMIFS($D$2:$D244,$E$2:$E244,"2019-2024",$K$2:$K244,TRUE)/auxiliar!$B$4</f>
        <v>0</v>
      </c>
    </row>
    <row r="245" spans="1:14" x14ac:dyDescent="0.25">
      <c r="A245" t="s">
        <v>11</v>
      </c>
      <c r="B245" t="s">
        <v>16</v>
      </c>
      <c r="C245" t="s">
        <v>37</v>
      </c>
      <c r="D245" s="3">
        <v>5074016.3499999996</v>
      </c>
      <c r="E245" t="s">
        <v>379</v>
      </c>
      <c r="F245" t="s">
        <v>367</v>
      </c>
      <c r="G245" s="6" t="s">
        <v>11</v>
      </c>
      <c r="H245" s="6" t="s">
        <v>16</v>
      </c>
      <c r="I245" s="6" t="s">
        <v>37</v>
      </c>
      <c r="K245" s="6" t="b">
        <v>1</v>
      </c>
      <c r="L245" s="13">
        <f>SUMIFS($D$2:$D245,$E$2:$E245,"2007-2018",$K$2:$K245,TRUE)/auxiliar!$B$3</f>
        <v>0.98827755469520007</v>
      </c>
      <c r="M245" s="13">
        <f>SUMIFS($D$2:$D245,$E$2:$E245,"2019-2024",$K$2:$K245,TRUE)/auxiliar!$B$4</f>
        <v>0.15616520730155661</v>
      </c>
    </row>
    <row r="246" spans="1:14" x14ac:dyDescent="0.25">
      <c r="A246" t="s">
        <v>12</v>
      </c>
      <c r="B246" t="s">
        <v>18</v>
      </c>
      <c r="C246" t="s">
        <v>39</v>
      </c>
      <c r="D246" s="3">
        <v>4097006.23</v>
      </c>
      <c r="E246" t="s">
        <v>379</v>
      </c>
      <c r="F246" t="s">
        <v>367</v>
      </c>
      <c r="G246" s="6" t="s">
        <v>12</v>
      </c>
      <c r="H246" s="6" t="s">
        <v>18</v>
      </c>
      <c r="I246" s="6" t="s">
        <v>39</v>
      </c>
      <c r="K246" s="6" t="b">
        <v>1</v>
      </c>
      <c r="L246" s="13">
        <f>SUMIFS($D$2:$D246,$E$2:$E246,"2007-2018",$K$2:$K246,TRUE)/auxiliar!$B$3</f>
        <v>0.98827755469520007</v>
      </c>
      <c r="M246" s="13">
        <f>SUMIFS($D$2:$D246,$E$2:$E246,"2019-2024",$K$2:$K246,TRUE)/auxiliar!$B$4</f>
        <v>0.28226054935218264</v>
      </c>
    </row>
    <row r="247" spans="1:14" x14ac:dyDescent="0.25">
      <c r="A247" t="s">
        <v>11</v>
      </c>
      <c r="B247" t="s">
        <v>17</v>
      </c>
      <c r="C247" t="s">
        <v>38</v>
      </c>
      <c r="D247" s="3">
        <v>3983493.23</v>
      </c>
      <c r="E247" t="s">
        <v>379</v>
      </c>
      <c r="F247" t="s">
        <v>367</v>
      </c>
      <c r="G247" s="6" t="s">
        <v>11</v>
      </c>
      <c r="H247" s="6" t="s">
        <v>17</v>
      </c>
      <c r="I247" s="6" t="s">
        <v>38</v>
      </c>
      <c r="K247" s="6" t="b">
        <v>1</v>
      </c>
      <c r="L247" s="13">
        <f>SUMIFS($D$2:$D247,$E$2:$E247,"2007-2018",$K$2:$K247,TRUE)/auxiliar!$B$3</f>
        <v>0.98827755469520007</v>
      </c>
      <c r="M247" s="13">
        <f>SUMIFS($D$2:$D247,$E$2:$E247,"2019-2024",$K$2:$K247,TRUE)/auxiliar!$B$4</f>
        <v>0.40486225244825119</v>
      </c>
    </row>
    <row r="248" spans="1:14" x14ac:dyDescent="0.25">
      <c r="A248" t="s">
        <v>12</v>
      </c>
      <c r="B248" t="s">
        <v>18</v>
      </c>
      <c r="C248" t="s">
        <v>43</v>
      </c>
      <c r="D248" s="3">
        <v>3272323.13</v>
      </c>
      <c r="E248" t="s">
        <v>379</v>
      </c>
      <c r="F248" t="s">
        <v>367</v>
      </c>
      <c r="G248" s="6" t="s">
        <v>12</v>
      </c>
      <c r="H248" s="6" t="s">
        <v>18</v>
      </c>
      <c r="I248" s="6" t="s">
        <v>43</v>
      </c>
      <c r="K248" s="6" t="b">
        <v>1</v>
      </c>
      <c r="L248" s="13">
        <f>SUMIFS($D$2:$D248,$E$2:$E248,"2007-2018",$K$2:$K248,TRUE)/auxiliar!$B$3</f>
        <v>0.98827755469520007</v>
      </c>
      <c r="M248" s="13">
        <f>SUMIFS($D$2:$D248,$E$2:$E248,"2019-2024",$K$2:$K248,TRUE)/auxiliar!$B$4</f>
        <v>0.50557596417173212</v>
      </c>
    </row>
    <row r="249" spans="1:14" x14ac:dyDescent="0.25">
      <c r="A249" t="s">
        <v>11</v>
      </c>
      <c r="B249" t="s">
        <v>16</v>
      </c>
      <c r="C249" t="s">
        <v>44</v>
      </c>
      <c r="D249" s="3">
        <v>3130050.91</v>
      </c>
      <c r="E249" t="s">
        <v>379</v>
      </c>
      <c r="F249" t="s">
        <v>367</v>
      </c>
      <c r="G249" s="6" t="s">
        <v>11</v>
      </c>
      <c r="H249" s="6" t="s">
        <v>16</v>
      </c>
      <c r="I249" s="6" t="s">
        <v>44</v>
      </c>
      <c r="J249" s="6" t="s">
        <v>374</v>
      </c>
      <c r="K249" s="6" t="b">
        <v>1</v>
      </c>
      <c r="L249" s="13">
        <f>SUMIFS($D$2:$D249,$E$2:$E249,"2007-2018",$K$2:$K249,TRUE)/auxiliar!$B$3</f>
        <v>0.98827755469520007</v>
      </c>
      <c r="M249" s="13">
        <f>SUMIFS($D$2:$D249,$E$2:$E249,"2019-2024",$K$2:$K249,TRUE)/auxiliar!$B$4</f>
        <v>0.6019109019226867</v>
      </c>
    </row>
    <row r="250" spans="1:14" x14ac:dyDescent="0.25">
      <c r="A250" t="s">
        <v>11</v>
      </c>
      <c r="B250" t="s">
        <v>21</v>
      </c>
      <c r="C250" t="s">
        <v>45</v>
      </c>
      <c r="D250" s="3">
        <v>2838406.65</v>
      </c>
      <c r="E250" t="s">
        <v>379</v>
      </c>
      <c r="F250" t="s">
        <v>367</v>
      </c>
      <c r="G250" s="6" t="s">
        <v>11</v>
      </c>
      <c r="H250" s="6" t="s">
        <v>21</v>
      </c>
      <c r="I250" s="6" t="s">
        <v>45</v>
      </c>
      <c r="K250" s="6" t="b">
        <v>1</v>
      </c>
      <c r="L250" s="13">
        <f>SUMIFS($D$2:$D250,$E$2:$E250,"2007-2018",$K$2:$K250,TRUE)/auxiliar!$B$3</f>
        <v>0.98827755469520007</v>
      </c>
      <c r="M250" s="13">
        <f>SUMIFS($D$2:$D250,$E$2:$E250,"2019-2024",$K$2:$K250,TRUE)/auxiliar!$B$4</f>
        <v>0.68926977748156559</v>
      </c>
      <c r="N250" s="7"/>
    </row>
    <row r="251" spans="1:14" x14ac:dyDescent="0.25">
      <c r="A251" t="s">
        <v>11</v>
      </c>
      <c r="B251" t="s">
        <v>16</v>
      </c>
      <c r="C251" t="s">
        <v>49</v>
      </c>
      <c r="D251" s="3">
        <v>1473521.05</v>
      </c>
      <c r="E251" t="s">
        <v>379</v>
      </c>
      <c r="F251" t="s">
        <v>367</v>
      </c>
      <c r="G251" s="6" t="s">
        <v>11</v>
      </c>
      <c r="H251" s="6" t="s">
        <v>16</v>
      </c>
      <c r="I251" s="6" t="s">
        <v>49</v>
      </c>
      <c r="K251" s="6" t="b">
        <v>1</v>
      </c>
      <c r="L251" s="13">
        <f>SUMIFS($D$2:$D251,$E$2:$E251,"2007-2018",$K$2:$K251,TRUE)/auxiliar!$B$3</f>
        <v>0.98827755469520007</v>
      </c>
      <c r="M251" s="13">
        <f>SUMIFS($D$2:$D251,$E$2:$E251,"2019-2024",$K$2:$K251,TRUE)/auxiliar!$B$4</f>
        <v>0.73462097549977012</v>
      </c>
    </row>
    <row r="252" spans="1:14" x14ac:dyDescent="0.25">
      <c r="A252" t="s">
        <v>12</v>
      </c>
      <c r="B252" t="s">
        <v>23</v>
      </c>
      <c r="C252" t="s">
        <v>51</v>
      </c>
      <c r="D252" s="3">
        <v>1341863.55</v>
      </c>
      <c r="E252" t="s">
        <v>379</v>
      </c>
      <c r="F252" t="s">
        <v>367</v>
      </c>
      <c r="G252" s="6" t="s">
        <v>12</v>
      </c>
      <c r="H252" s="6" t="s">
        <v>23</v>
      </c>
      <c r="I252" s="6" t="s">
        <v>51</v>
      </c>
      <c r="K252" s="6" t="b">
        <v>1</v>
      </c>
      <c r="L252" s="13">
        <f>SUMIFS($D$2:$D252,$E$2:$E252,"2007-2018",$K$2:$K252,TRUE)/auxiliar!$B$3</f>
        <v>0.98827755469520007</v>
      </c>
      <c r="M252" s="13">
        <f>SUMIFS($D$2:$D252,$E$2:$E252,"2019-2024",$K$2:$K252,TRUE)/auxiliar!$B$4</f>
        <v>0.7759200933979914</v>
      </c>
    </row>
    <row r="253" spans="1:14" x14ac:dyDescent="0.25">
      <c r="A253" t="s">
        <v>12</v>
      </c>
      <c r="B253" t="s">
        <v>23</v>
      </c>
      <c r="C253" t="s">
        <v>53</v>
      </c>
      <c r="D253" s="3">
        <v>1155517.48</v>
      </c>
      <c r="E253" t="s">
        <v>379</v>
      </c>
      <c r="F253" t="s">
        <v>367</v>
      </c>
      <c r="G253" s="6" t="s">
        <v>12</v>
      </c>
      <c r="H253" s="6" t="s">
        <v>23</v>
      </c>
      <c r="I253" s="6" t="s">
        <v>53</v>
      </c>
      <c r="K253" s="6" t="b">
        <v>1</v>
      </c>
      <c r="L253" s="13">
        <f>SUMIFS($D$2:$D253,$E$2:$E253,"2007-2018",$K$2:$K253,TRUE)/auxiliar!$B$3</f>
        <v>0.98827755469520007</v>
      </c>
      <c r="M253" s="13">
        <f>SUMIFS($D$2:$D253,$E$2:$E253,"2019-2024",$K$2:$K253,TRUE)/auxiliar!$B$4</f>
        <v>0.81148395727966227</v>
      </c>
    </row>
    <row r="254" spans="1:14" x14ac:dyDescent="0.25">
      <c r="A254" t="s">
        <v>11</v>
      </c>
      <c r="B254" t="s">
        <v>21</v>
      </c>
      <c r="C254" t="s">
        <v>58</v>
      </c>
      <c r="D254" s="3">
        <v>730941.52</v>
      </c>
      <c r="E254" t="s">
        <v>379</v>
      </c>
      <c r="F254" t="s">
        <v>367</v>
      </c>
      <c r="G254" s="6" t="s">
        <v>11</v>
      </c>
      <c r="H254" s="6" t="s">
        <v>21</v>
      </c>
      <c r="I254" s="6" t="s">
        <v>58</v>
      </c>
      <c r="K254" s="6" t="b">
        <v>1</v>
      </c>
      <c r="L254" s="13">
        <f>SUMIFS($D$2:$D254,$E$2:$E254,"2007-2018",$K$2:$K254,TRUE)/auxiliar!$B$3</f>
        <v>0.98827755469520007</v>
      </c>
      <c r="M254" s="13">
        <f>SUMIFS($D$2:$D254,$E$2:$E254,"2019-2024",$K$2:$K254,TRUE)/auxiliar!$B$4</f>
        <v>0.83398046224187328</v>
      </c>
    </row>
    <row r="255" spans="1:14" x14ac:dyDescent="0.25">
      <c r="A255" t="s">
        <v>11</v>
      </c>
      <c r="B255" t="s">
        <v>21</v>
      </c>
      <c r="C255" t="s">
        <v>57</v>
      </c>
      <c r="D255" s="3">
        <v>639225.19000000006</v>
      </c>
      <c r="E255" t="s">
        <v>379</v>
      </c>
      <c r="F255" t="s">
        <v>367</v>
      </c>
      <c r="G255" s="6" t="s">
        <v>11</v>
      </c>
      <c r="H255" s="6" t="s">
        <v>21</v>
      </c>
      <c r="I255" s="6" t="s">
        <v>57</v>
      </c>
      <c r="K255" s="6" t="b">
        <v>1</v>
      </c>
      <c r="L255" s="13">
        <f>SUMIFS($D$2:$D255,$E$2:$E255,"2007-2018",$K$2:$K255,TRUE)/auxiliar!$B$3</f>
        <v>0.98827755469520007</v>
      </c>
      <c r="M255" s="13">
        <f>SUMIFS($D$2:$D255,$E$2:$E255,"2019-2024",$K$2:$K255,TRUE)/auxiliar!$B$4</f>
        <v>0.85365417383894515</v>
      </c>
    </row>
    <row r="256" spans="1:14" x14ac:dyDescent="0.25">
      <c r="A256" t="s">
        <v>12</v>
      </c>
      <c r="B256" t="s">
        <v>24</v>
      </c>
      <c r="C256" t="s">
        <v>55</v>
      </c>
      <c r="D256" s="3">
        <v>634090.18999999994</v>
      </c>
      <c r="E256" t="s">
        <v>379</v>
      </c>
      <c r="F256" t="s">
        <v>367</v>
      </c>
      <c r="G256" s="6" t="s">
        <v>12</v>
      </c>
      <c r="H256" s="6" t="s">
        <v>24</v>
      </c>
      <c r="I256" s="6" t="s">
        <v>55</v>
      </c>
      <c r="K256" s="6" t="b">
        <v>1</v>
      </c>
      <c r="L256" s="13">
        <f>SUMIFS($D$2:$D256,$E$2:$E256,"2007-2018",$K$2:$K256,TRUE)/auxiliar!$B$3</f>
        <v>0.98827755469520007</v>
      </c>
      <c r="M256" s="13">
        <f>SUMIFS($D$2:$D256,$E$2:$E256,"2019-2024",$K$2:$K256,TRUE)/auxiliar!$B$4</f>
        <v>0.87316984330840475</v>
      </c>
    </row>
    <row r="257" spans="1:13" x14ac:dyDescent="0.25">
      <c r="A257" t="s">
        <v>12</v>
      </c>
      <c r="B257" t="s">
        <v>17</v>
      </c>
      <c r="C257" t="s">
        <v>63</v>
      </c>
      <c r="D257" s="3">
        <v>421525.99</v>
      </c>
      <c r="E257" t="s">
        <v>379</v>
      </c>
      <c r="F257" t="s">
        <v>367</v>
      </c>
      <c r="G257" s="6" t="s">
        <v>12</v>
      </c>
      <c r="H257" s="6" t="s">
        <v>17</v>
      </c>
      <c r="I257" s="6" t="s">
        <v>63</v>
      </c>
      <c r="K257" s="6" t="b">
        <v>1</v>
      </c>
      <c r="L257" s="13">
        <f>SUMIFS($D$2:$D257,$E$2:$E257,"2007-2018",$K$2:$K257,TRUE)/auxiliar!$B$3</f>
        <v>0.98827755469520007</v>
      </c>
      <c r="M257" s="13">
        <f>SUMIFS($D$2:$D257,$E$2:$E257,"2019-2024",$K$2:$K257,TRUE)/auxiliar!$B$4</f>
        <v>0.88614333197509842</v>
      </c>
    </row>
    <row r="258" spans="1:13" x14ac:dyDescent="0.25">
      <c r="A258" t="s">
        <v>11</v>
      </c>
      <c r="B258" t="s">
        <v>21</v>
      </c>
      <c r="C258" t="s">
        <v>77</v>
      </c>
      <c r="D258" s="3">
        <v>245055.41</v>
      </c>
      <c r="E258" t="s">
        <v>379</v>
      </c>
      <c r="F258" t="s">
        <v>367</v>
      </c>
      <c r="G258" s="6" t="s">
        <v>11</v>
      </c>
      <c r="H258" s="6" t="s">
        <v>21</v>
      </c>
      <c r="I258" s="6" t="s">
        <v>77</v>
      </c>
      <c r="K258" s="6" t="b">
        <v>1</v>
      </c>
      <c r="L258" s="13">
        <f>SUMIFS($D$2:$D258,$E$2:$E258,"2007-2018",$K$2:$K258,TRUE)/auxiliar!$B$3</f>
        <v>0.98827755469520007</v>
      </c>
      <c r="M258" s="13">
        <f>SUMIFS($D$2:$D258,$E$2:$E258,"2019-2024",$K$2:$K258,TRUE)/auxiliar!$B$4</f>
        <v>0.89368550887466991</v>
      </c>
    </row>
    <row r="259" spans="1:13" x14ac:dyDescent="0.25">
      <c r="A259" t="s">
        <v>11</v>
      </c>
      <c r="B259" t="s">
        <v>21</v>
      </c>
      <c r="C259" t="s">
        <v>78</v>
      </c>
      <c r="D259" s="3">
        <v>240303.2</v>
      </c>
      <c r="E259" t="s">
        <v>379</v>
      </c>
      <c r="F259" t="s">
        <v>367</v>
      </c>
      <c r="G259" s="6" t="s">
        <v>11</v>
      </c>
      <c r="H259" s="6" t="s">
        <v>21</v>
      </c>
      <c r="I259" s="6" t="s">
        <v>78</v>
      </c>
      <c r="K259" s="6" t="b">
        <v>1</v>
      </c>
      <c r="L259" s="13">
        <f>SUMIFS($D$2:$D259,$E$2:$E259,"2007-2018",$K$2:$K259,TRUE)/auxiliar!$B$3</f>
        <v>0.98827755469520007</v>
      </c>
      <c r="M259" s="13">
        <f>SUMIFS($D$2:$D259,$E$2:$E259,"2019-2024",$K$2:$K259,TRUE)/auxiliar!$B$4</f>
        <v>0.90108142494088983</v>
      </c>
    </row>
    <row r="260" spans="1:13" x14ac:dyDescent="0.25">
      <c r="A260" t="s">
        <v>11</v>
      </c>
      <c r="B260" t="s">
        <v>21</v>
      </c>
      <c r="C260" t="s">
        <v>66</v>
      </c>
      <c r="D260" s="3">
        <v>233777.06</v>
      </c>
      <c r="E260" t="s">
        <v>379</v>
      </c>
      <c r="F260" t="s">
        <v>367</v>
      </c>
      <c r="G260" s="6" t="s">
        <v>11</v>
      </c>
      <c r="H260" s="6" t="s">
        <v>21</v>
      </c>
      <c r="I260" s="6" t="s">
        <v>66</v>
      </c>
      <c r="K260" s="6" t="b">
        <v>1</v>
      </c>
      <c r="L260" s="13">
        <f>SUMIFS($D$2:$D260,$E$2:$E260,"2007-2018",$K$2:$K260,TRUE)/auxiliar!$B$3</f>
        <v>0.98827755469520007</v>
      </c>
      <c r="M260" s="13">
        <f>SUMIFS($D$2:$D260,$E$2:$E260,"2019-2024",$K$2:$K260,TRUE)/auxiliar!$B$4</f>
        <v>0.90827648315887288</v>
      </c>
    </row>
    <row r="261" spans="1:13" x14ac:dyDescent="0.25">
      <c r="A261" t="s">
        <v>12</v>
      </c>
      <c r="B261" t="s">
        <v>23</v>
      </c>
      <c r="C261" t="s">
        <v>68</v>
      </c>
      <c r="D261" s="3">
        <v>225418.5</v>
      </c>
      <c r="E261" t="s">
        <v>379</v>
      </c>
      <c r="F261" t="s">
        <v>367</v>
      </c>
      <c r="G261" s="6" t="s">
        <v>12</v>
      </c>
      <c r="H261" s="6" t="s">
        <v>23</v>
      </c>
      <c r="I261" s="6" t="s">
        <v>68</v>
      </c>
      <c r="K261" s="6" t="b">
        <v>1</v>
      </c>
      <c r="L261" s="13">
        <f>SUMIFS($D$2:$D261,$E$2:$E261,"2007-2018",$K$2:$K261,TRUE)/auxiliar!$B$3</f>
        <v>0.98827755469520007</v>
      </c>
      <c r="M261" s="13">
        <f>SUMIFS($D$2:$D261,$E$2:$E261,"2019-2024",$K$2:$K261,TRUE)/auxiliar!$B$4</f>
        <v>0.91521428634157376</v>
      </c>
    </row>
    <row r="262" spans="1:13" x14ac:dyDescent="0.25">
      <c r="A262" t="s">
        <v>12</v>
      </c>
      <c r="B262" t="s">
        <v>24</v>
      </c>
      <c r="C262" t="s">
        <v>70</v>
      </c>
      <c r="D262" s="3">
        <v>179617.82</v>
      </c>
      <c r="E262" t="s">
        <v>379</v>
      </c>
      <c r="F262" t="s">
        <v>367</v>
      </c>
      <c r="G262" s="6" t="s">
        <v>12</v>
      </c>
      <c r="H262" s="6" t="s">
        <v>24</v>
      </c>
      <c r="I262" s="6" t="s">
        <v>70</v>
      </c>
      <c r="K262" s="6" t="b">
        <v>1</v>
      </c>
      <c r="L262" s="13">
        <f>SUMIFS($D$2:$D262,$E$2:$E262,"2007-2018",$K$2:$K262,TRUE)/auxiliar!$B$3</f>
        <v>0.98827755469520007</v>
      </c>
      <c r="M262" s="13">
        <f>SUMIFS($D$2:$D262,$E$2:$E262,"2019-2024",$K$2:$K262,TRUE)/auxiliar!$B$4</f>
        <v>0.9207424620825434</v>
      </c>
    </row>
    <row r="263" spans="1:13" x14ac:dyDescent="0.25">
      <c r="A263" t="s">
        <v>11</v>
      </c>
      <c r="B263" t="s">
        <v>21</v>
      </c>
      <c r="C263" t="s">
        <v>73</v>
      </c>
      <c r="D263" s="3">
        <v>153542.37</v>
      </c>
      <c r="E263" t="s">
        <v>379</v>
      </c>
      <c r="F263" t="s">
        <v>367</v>
      </c>
      <c r="G263" s="6" t="s">
        <v>11</v>
      </c>
      <c r="H263" s="6" t="s">
        <v>21</v>
      </c>
      <c r="I263" s="6" t="s">
        <v>73</v>
      </c>
      <c r="K263" s="6" t="b">
        <v>1</v>
      </c>
      <c r="L263" s="13">
        <f>SUMIFS($D$2:$D263,$E$2:$E263,"2007-2018",$K$2:$K263,TRUE)/auxiliar!$B$3</f>
        <v>0.98827755469520007</v>
      </c>
      <c r="M263" s="13">
        <f>SUMIFS($D$2:$D263,$E$2:$E263,"2019-2024",$K$2:$K263,TRUE)/auxiliar!$B$4</f>
        <v>0.92546810236169275</v>
      </c>
    </row>
    <row r="264" spans="1:13" x14ac:dyDescent="0.25">
      <c r="A264" t="s">
        <v>11</v>
      </c>
      <c r="B264" t="s">
        <v>21</v>
      </c>
      <c r="C264" t="s">
        <v>74</v>
      </c>
      <c r="D264" s="3">
        <v>142680.94</v>
      </c>
      <c r="E264" t="s">
        <v>379</v>
      </c>
      <c r="F264" t="s">
        <v>367</v>
      </c>
      <c r="G264" s="6" t="s">
        <v>11</v>
      </c>
      <c r="H264" s="6" t="s">
        <v>21</v>
      </c>
      <c r="I264" s="6" t="s">
        <v>74</v>
      </c>
      <c r="K264" s="6" t="b">
        <v>1</v>
      </c>
      <c r="L264" s="13">
        <f>SUMIFS($D$2:$D264,$E$2:$E264,"2007-2018",$K$2:$K264,TRUE)/auxiliar!$B$3</f>
        <v>0.98827755469520007</v>
      </c>
      <c r="M264" s="13">
        <f>SUMIFS($D$2:$D264,$E$2:$E264,"2019-2024",$K$2:$K264,TRUE)/auxiliar!$B$4</f>
        <v>0.92985945568736372</v>
      </c>
    </row>
    <row r="265" spans="1:13" x14ac:dyDescent="0.25">
      <c r="A265" t="s">
        <v>11</v>
      </c>
      <c r="B265" t="s">
        <v>21</v>
      </c>
      <c r="C265" t="s">
        <v>95</v>
      </c>
      <c r="D265" s="3">
        <v>109319.87</v>
      </c>
      <c r="E265" t="s">
        <v>379</v>
      </c>
      <c r="F265" t="s">
        <v>367</v>
      </c>
      <c r="G265" s="6" t="s">
        <v>11</v>
      </c>
      <c r="H265" s="6" t="s">
        <v>21</v>
      </c>
      <c r="I265" s="6" t="s">
        <v>95</v>
      </c>
      <c r="K265" s="6" t="b">
        <v>1</v>
      </c>
      <c r="L265" s="13">
        <f>SUMIFS($D$2:$D265,$E$2:$E265,"2007-2018",$K$2:$K265,TRUE)/auxiliar!$B$3</f>
        <v>0.98827755469520007</v>
      </c>
      <c r="M265" s="13">
        <f>SUMIFS($D$2:$D265,$E$2:$E265,"2019-2024",$K$2:$K265,TRUE)/auxiliar!$B$4</f>
        <v>0.93322404085680832</v>
      </c>
    </row>
    <row r="266" spans="1:13" x14ac:dyDescent="0.25">
      <c r="A266" t="s">
        <v>12</v>
      </c>
      <c r="B266" t="s">
        <v>28</v>
      </c>
      <c r="C266" t="s">
        <v>79</v>
      </c>
      <c r="D266" s="3">
        <v>108942.66</v>
      </c>
      <c r="E266" t="s">
        <v>379</v>
      </c>
      <c r="F266" t="s">
        <v>367</v>
      </c>
      <c r="G266" s="6" t="s">
        <v>12</v>
      </c>
      <c r="H266" s="6" t="s">
        <v>28</v>
      </c>
      <c r="I266" s="6" t="s">
        <v>79</v>
      </c>
      <c r="K266" s="6" t="b">
        <v>1</v>
      </c>
      <c r="L266" s="13">
        <f>SUMIFS($D$2:$D266,$E$2:$E266,"2007-2018",$K$2:$K266,TRUE)/auxiliar!$B$3</f>
        <v>0.98827755469520007</v>
      </c>
      <c r="M266" s="13">
        <f>SUMIFS($D$2:$D266,$E$2:$E266,"2019-2024",$K$2:$K266,TRUE)/auxiliar!$B$4</f>
        <v>0.93657701647007829</v>
      </c>
    </row>
    <row r="267" spans="1:13" x14ac:dyDescent="0.25">
      <c r="A267" t="s">
        <v>11</v>
      </c>
      <c r="B267" t="s">
        <v>21</v>
      </c>
      <c r="C267" t="s">
        <v>82</v>
      </c>
      <c r="D267" s="3">
        <v>103853.34</v>
      </c>
      <c r="E267" t="s">
        <v>379</v>
      </c>
      <c r="F267" t="s">
        <v>367</v>
      </c>
      <c r="G267" s="6" t="s">
        <v>11</v>
      </c>
      <c r="H267" s="6" t="s">
        <v>21</v>
      </c>
      <c r="I267" s="6" t="s">
        <v>82</v>
      </c>
      <c r="K267" s="6" t="b">
        <v>1</v>
      </c>
      <c r="L267" s="13">
        <f>SUMIFS($D$2:$D267,$E$2:$E267,"2007-2018",$K$2:$K267,TRUE)/auxiliar!$B$3</f>
        <v>0.98827755469520007</v>
      </c>
      <c r="M267" s="13">
        <f>SUMIFS($D$2:$D267,$E$2:$E267,"2019-2024",$K$2:$K267,TRUE)/auxiliar!$B$4</f>
        <v>0.93977335586895683</v>
      </c>
    </row>
    <row r="268" spans="1:13" x14ac:dyDescent="0.25">
      <c r="A268" t="s">
        <v>12</v>
      </c>
      <c r="B268" t="s">
        <v>28</v>
      </c>
      <c r="C268" t="s">
        <v>91</v>
      </c>
      <c r="D268" s="3">
        <v>95227.29</v>
      </c>
      <c r="E268" t="s">
        <v>379</v>
      </c>
      <c r="F268" t="s">
        <v>367</v>
      </c>
      <c r="G268" s="6" t="s">
        <v>12</v>
      </c>
      <c r="H268" s="6" t="s">
        <v>28</v>
      </c>
      <c r="I268" s="6" t="s">
        <v>91</v>
      </c>
      <c r="K268" s="6" t="b">
        <v>1</v>
      </c>
      <c r="L268" s="13">
        <f>SUMIFS($D$2:$D268,$E$2:$E268,"2007-2018",$K$2:$K268,TRUE)/auxiliar!$B$3</f>
        <v>0.98827755469520007</v>
      </c>
      <c r="M268" s="13">
        <f>SUMIFS($D$2:$D268,$E$2:$E268,"2019-2024",$K$2:$K268,TRUE)/auxiliar!$B$4</f>
        <v>0.94270420757652285</v>
      </c>
    </row>
    <row r="269" spans="1:13" x14ac:dyDescent="0.25">
      <c r="A269" t="s">
        <v>11</v>
      </c>
      <c r="B269" t="s">
        <v>16</v>
      </c>
      <c r="C269" t="s">
        <v>83</v>
      </c>
      <c r="D269" s="3">
        <v>89010.069999999992</v>
      </c>
      <c r="E269" t="s">
        <v>379</v>
      </c>
      <c r="F269" t="s">
        <v>367</v>
      </c>
      <c r="G269" s="6" t="s">
        <v>11</v>
      </c>
      <c r="H269" s="6" t="s">
        <v>16</v>
      </c>
      <c r="I269" s="6" t="s">
        <v>83</v>
      </c>
      <c r="K269" s="6" t="b">
        <v>1</v>
      </c>
      <c r="L269" s="13">
        <f>SUMIFS($D$2:$D269,$E$2:$E269,"2007-2018",$K$2:$K269,TRUE)/auxiliar!$B$3</f>
        <v>0.98827755469520007</v>
      </c>
      <c r="M269" s="13">
        <f>SUMIFS($D$2:$D269,$E$2:$E269,"2019-2024",$K$2:$K269,TRUE)/auxiliar!$B$4</f>
        <v>0.9454437092010054</v>
      </c>
    </row>
    <row r="270" spans="1:13" x14ac:dyDescent="0.25">
      <c r="A270" t="s">
        <v>11</v>
      </c>
      <c r="B270" t="s">
        <v>21</v>
      </c>
      <c r="C270" t="s">
        <v>64</v>
      </c>
      <c r="D270" s="3">
        <v>86532.12</v>
      </c>
      <c r="E270" t="s">
        <v>379</v>
      </c>
      <c r="F270" t="s">
        <v>367</v>
      </c>
      <c r="G270" s="6" t="s">
        <v>11</v>
      </c>
      <c r="H270" s="6" t="s">
        <v>21</v>
      </c>
      <c r="I270" s="6" t="s">
        <v>64</v>
      </c>
      <c r="K270" s="6" t="b">
        <v>1</v>
      </c>
      <c r="L270" s="13">
        <f>SUMIFS($D$2:$D270,$E$2:$E270,"2007-2018",$K$2:$K270,TRUE)/auxiliar!$B$3</f>
        <v>0.98827755469520007</v>
      </c>
      <c r="M270" s="13">
        <f>SUMIFS($D$2:$D270,$E$2:$E270,"2019-2024",$K$2:$K270,TRUE)/auxiliar!$B$4</f>
        <v>0.94810694588096667</v>
      </c>
    </row>
    <row r="271" spans="1:13" x14ac:dyDescent="0.25">
      <c r="A271" t="s">
        <v>12</v>
      </c>
      <c r="B271" t="s">
        <v>28</v>
      </c>
      <c r="C271" t="s">
        <v>86</v>
      </c>
      <c r="D271" s="3">
        <v>85340.91</v>
      </c>
      <c r="E271" t="s">
        <v>379</v>
      </c>
      <c r="F271" t="s">
        <v>367</v>
      </c>
      <c r="G271" s="6" t="s">
        <v>12</v>
      </c>
      <c r="H271" s="6" t="s">
        <v>28</v>
      </c>
      <c r="I271" s="6" t="s">
        <v>86</v>
      </c>
      <c r="K271" s="6" t="b">
        <v>1</v>
      </c>
      <c r="L271" s="13">
        <f>SUMIFS($D$2:$D271,$E$2:$E271,"2007-2018",$K$2:$K271,TRUE)/auxiliar!$B$3</f>
        <v>0.98827755469520007</v>
      </c>
      <c r="M271" s="13">
        <f>SUMIFS($D$2:$D271,$E$2:$E271,"2019-2024",$K$2:$K271,TRUE)/auxiliar!$B$4</f>
        <v>0.95073352017283974</v>
      </c>
    </row>
    <row r="272" spans="1:13" x14ac:dyDescent="0.25">
      <c r="A272" t="s">
        <v>12</v>
      </c>
      <c r="B272" t="s">
        <v>28</v>
      </c>
      <c r="C272" t="s">
        <v>102</v>
      </c>
      <c r="D272" s="3">
        <v>84204.07</v>
      </c>
      <c r="E272" t="s">
        <v>379</v>
      </c>
      <c r="F272" t="s">
        <v>367</v>
      </c>
      <c r="G272" s="6" t="s">
        <v>12</v>
      </c>
      <c r="H272" s="6" t="s">
        <v>28</v>
      </c>
      <c r="I272" s="6" t="s">
        <v>102</v>
      </c>
      <c r="K272" s="6" t="b">
        <v>1</v>
      </c>
      <c r="L272" s="13">
        <f>SUMIFS($D$2:$D272,$E$2:$E272,"2007-2018",$K$2:$K272,TRUE)/auxiliar!$B$3</f>
        <v>0.98827755469520007</v>
      </c>
      <c r="M272" s="13">
        <f>SUMIFS($D$2:$D272,$E$2:$E272,"2019-2024",$K$2:$K272,TRUE)/auxiliar!$B$4</f>
        <v>0.95332510544575377</v>
      </c>
    </row>
    <row r="273" spans="1:13" x14ac:dyDescent="0.25">
      <c r="A273" t="s">
        <v>12</v>
      </c>
      <c r="B273" t="s">
        <v>28</v>
      </c>
      <c r="C273" t="s">
        <v>88</v>
      </c>
      <c r="D273" s="3">
        <v>83220.77</v>
      </c>
      <c r="E273" t="s">
        <v>379</v>
      </c>
      <c r="F273" t="s">
        <v>367</v>
      </c>
      <c r="G273" s="6" t="s">
        <v>12</v>
      </c>
      <c r="H273" s="6" t="s">
        <v>28</v>
      </c>
      <c r="I273" s="6" t="s">
        <v>88</v>
      </c>
      <c r="K273" s="6" t="b">
        <v>1</v>
      </c>
      <c r="L273" s="13">
        <f>SUMIFS($D$2:$D273,$E$2:$E273,"2007-2018",$K$2:$K273,TRUE)/auxiliar!$B$3</f>
        <v>0.98827755469520007</v>
      </c>
      <c r="M273" s="13">
        <f>SUMIFS($D$2:$D273,$E$2:$E273,"2019-2024",$K$2:$K273,TRUE)/auxiliar!$B$4</f>
        <v>0.95588642726704531</v>
      </c>
    </row>
    <row r="274" spans="1:13" x14ac:dyDescent="0.25">
      <c r="A274" t="s">
        <v>11</v>
      </c>
      <c r="B274" t="s">
        <v>21</v>
      </c>
      <c r="C274" t="s">
        <v>96</v>
      </c>
      <c r="D274" s="3">
        <v>79444.36</v>
      </c>
      <c r="E274" t="s">
        <v>379</v>
      </c>
      <c r="F274" t="s">
        <v>367</v>
      </c>
      <c r="G274" s="6" t="s">
        <v>11</v>
      </c>
      <c r="H274" s="6" t="s">
        <v>21</v>
      </c>
      <c r="I274" s="6" t="s">
        <v>96</v>
      </c>
      <c r="K274" s="6" t="b">
        <v>1</v>
      </c>
      <c r="L274" s="13">
        <f>SUMIFS($D$2:$D274,$E$2:$E274,"2007-2018",$K$2:$K274,TRUE)/auxiliar!$B$3</f>
        <v>0.98827755469520007</v>
      </c>
      <c r="M274" s="13">
        <f>SUMIFS($D$2:$D274,$E$2:$E274,"2019-2024",$K$2:$K274,TRUE)/auxiliar!$B$4</f>
        <v>0.95833152087584683</v>
      </c>
    </row>
    <row r="275" spans="1:13" x14ac:dyDescent="0.25">
      <c r="A275" t="s">
        <v>11</v>
      </c>
      <c r="B275" t="s">
        <v>21</v>
      </c>
      <c r="C275" t="s">
        <v>106</v>
      </c>
      <c r="D275" s="3">
        <v>79343.55</v>
      </c>
      <c r="E275" t="s">
        <v>379</v>
      </c>
      <c r="F275" t="s">
        <v>367</v>
      </c>
      <c r="G275" s="6" t="s">
        <v>11</v>
      </c>
      <c r="H275" s="6" t="s">
        <v>21</v>
      </c>
      <c r="I275" s="6" t="s">
        <v>106</v>
      </c>
      <c r="K275" s="6" t="b">
        <v>1</v>
      </c>
      <c r="L275" s="13">
        <f>SUMIFS($D$2:$D275,$E$2:$E275,"2007-2018",$K$2:$K275,TRUE)/auxiliar!$B$3</f>
        <v>0.98827755469520007</v>
      </c>
      <c r="M275" s="13">
        <f>SUMIFS($D$2:$D275,$E$2:$E275,"2019-2024",$K$2:$K275,TRUE)/auxiliar!$B$4</f>
        <v>0.96077351181144788</v>
      </c>
    </row>
    <row r="276" spans="1:13" x14ac:dyDescent="0.25">
      <c r="A276" t="s">
        <v>11</v>
      </c>
      <c r="B276" t="s">
        <v>21</v>
      </c>
      <c r="C276" t="s">
        <v>100</v>
      </c>
      <c r="D276" s="3">
        <v>78496.070000000007</v>
      </c>
      <c r="E276" t="s">
        <v>379</v>
      </c>
      <c r="F276" t="s">
        <v>367</v>
      </c>
      <c r="G276" s="6" t="s">
        <v>11</v>
      </c>
      <c r="H276" s="6" t="s">
        <v>21</v>
      </c>
      <c r="I276" s="6" t="s">
        <v>100</v>
      </c>
      <c r="K276" s="6" t="b">
        <v>1</v>
      </c>
      <c r="L276" s="13">
        <f>SUMIFS($D$2:$D276,$E$2:$E276,"2007-2018",$K$2:$K276,TRUE)/auxiliar!$B$3</f>
        <v>0.98827755469520007</v>
      </c>
      <c r="M276" s="13">
        <f>SUMIFS($D$2:$D276,$E$2:$E276,"2019-2024",$K$2:$K276,TRUE)/auxiliar!$B$4</f>
        <v>0.96318941948661874</v>
      </c>
    </row>
    <row r="277" spans="1:13" x14ac:dyDescent="0.25">
      <c r="A277" t="s">
        <v>11</v>
      </c>
      <c r="B277" t="s">
        <v>21</v>
      </c>
      <c r="C277" t="s">
        <v>92</v>
      </c>
      <c r="D277" s="3">
        <v>76414.22</v>
      </c>
      <c r="E277" t="s">
        <v>379</v>
      </c>
      <c r="F277" t="s">
        <v>367</v>
      </c>
      <c r="G277" s="6" t="s">
        <v>11</v>
      </c>
      <c r="H277" s="6" t="s">
        <v>21</v>
      </c>
      <c r="I277" s="6" t="s">
        <v>92</v>
      </c>
      <c r="K277" s="6" t="b">
        <v>1</v>
      </c>
      <c r="L277" s="13">
        <f>SUMIFS($D$2:$D277,$E$2:$E277,"2007-2018",$K$2:$K277,TRUE)/auxiliar!$B$3</f>
        <v>0.98827755469520007</v>
      </c>
      <c r="M277" s="13">
        <f>SUMIFS($D$2:$D277,$E$2:$E277,"2019-2024",$K$2:$K277,TRUE)/auxiliar!$B$4</f>
        <v>0.96554125315918593</v>
      </c>
    </row>
    <row r="278" spans="1:13" x14ac:dyDescent="0.25">
      <c r="A278" t="s">
        <v>11</v>
      </c>
      <c r="B278" t="s">
        <v>21</v>
      </c>
      <c r="C278" t="s">
        <v>107</v>
      </c>
      <c r="D278" s="3">
        <v>66236.95</v>
      </c>
      <c r="E278" t="s">
        <v>379</v>
      </c>
      <c r="F278" t="s">
        <v>367</v>
      </c>
      <c r="G278" s="6" t="s">
        <v>11</v>
      </c>
      <c r="H278" s="6" t="s">
        <v>21</v>
      </c>
      <c r="I278" s="6" t="s">
        <v>107</v>
      </c>
      <c r="K278" s="6" t="b">
        <v>1</v>
      </c>
      <c r="L278" s="13">
        <f>SUMIFS($D$2:$D278,$E$2:$E278,"2007-2018",$K$2:$K278,TRUE)/auxiliar!$B$3</f>
        <v>0.98827755469520007</v>
      </c>
      <c r="M278" s="13">
        <f>SUMIFS($D$2:$D278,$E$2:$E278,"2019-2024",$K$2:$K278,TRUE)/auxiliar!$B$4</f>
        <v>0.96757985656805612</v>
      </c>
    </row>
    <row r="279" spans="1:13" x14ac:dyDescent="0.25">
      <c r="A279" t="s">
        <v>12</v>
      </c>
      <c r="B279" t="s">
        <v>28</v>
      </c>
      <c r="C279" t="s">
        <v>103</v>
      </c>
      <c r="D279" s="3">
        <v>63136.42</v>
      </c>
      <c r="E279" t="s">
        <v>379</v>
      </c>
      <c r="F279" t="s">
        <v>367</v>
      </c>
      <c r="G279" s="6" t="s">
        <v>12</v>
      </c>
      <c r="H279" s="6" t="s">
        <v>28</v>
      </c>
      <c r="I279" s="6" t="s">
        <v>103</v>
      </c>
      <c r="K279" s="6" t="b">
        <v>1</v>
      </c>
      <c r="L279" s="13">
        <f>SUMIFS($D$2:$D279,$E$2:$E279,"2007-2018",$K$2:$K279,TRUE)/auxiliar!$B$3</f>
        <v>0.98827755469520007</v>
      </c>
      <c r="M279" s="13">
        <f>SUMIFS($D$2:$D279,$E$2:$E279,"2019-2024",$K$2:$K279,TRUE)/auxiliar!$B$4</f>
        <v>0.96952303361705761</v>
      </c>
    </row>
    <row r="280" spans="1:13" x14ac:dyDescent="0.25">
      <c r="A280" t="s">
        <v>12</v>
      </c>
      <c r="B280" t="s">
        <v>23</v>
      </c>
      <c r="C280" t="s">
        <v>105</v>
      </c>
      <c r="D280" s="3">
        <v>60245.98</v>
      </c>
      <c r="E280" t="s">
        <v>379</v>
      </c>
      <c r="F280" t="s">
        <v>367</v>
      </c>
      <c r="G280" s="6" t="s">
        <v>12</v>
      </c>
      <c r="H280" s="6" t="s">
        <v>23</v>
      </c>
      <c r="I280" s="6" t="s">
        <v>105</v>
      </c>
      <c r="K280" s="6" t="b">
        <v>1</v>
      </c>
      <c r="L280" s="13">
        <f>SUMIFS($D$2:$D280,$E$2:$E280,"2007-2018",$K$2:$K280,TRUE)/auxiliar!$B$3</f>
        <v>0.98827755469520007</v>
      </c>
      <c r="M280" s="13">
        <f>SUMIFS($D$2:$D280,$E$2:$E280,"2019-2024",$K$2:$K280,TRUE)/auxiliar!$B$4</f>
        <v>0.97137725033746403</v>
      </c>
    </row>
    <row r="281" spans="1:13" x14ac:dyDescent="0.25">
      <c r="A281" t="s">
        <v>12</v>
      </c>
      <c r="B281" t="s">
        <v>16</v>
      </c>
      <c r="C281" t="s">
        <v>89</v>
      </c>
      <c r="D281" s="3">
        <v>56511.97</v>
      </c>
      <c r="E281" t="s">
        <v>379</v>
      </c>
      <c r="F281" t="s">
        <v>367</v>
      </c>
      <c r="G281" s="6" t="s">
        <v>12</v>
      </c>
      <c r="H281" s="6" t="s">
        <v>16</v>
      </c>
      <c r="I281" s="6" t="s">
        <v>89</v>
      </c>
      <c r="K281" s="6" t="b">
        <v>1</v>
      </c>
      <c r="L281" s="13">
        <f>SUMIFS($D$2:$D281,$E$2:$E281,"2007-2018",$K$2:$K281,TRUE)/auxiliar!$B$3</f>
        <v>0.98827755469520007</v>
      </c>
      <c r="M281" s="13">
        <f>SUMIFS($D$2:$D281,$E$2:$E281,"2019-2024",$K$2:$K281,TRUE)/auxiliar!$B$4</f>
        <v>0.97311654380861512</v>
      </c>
    </row>
    <row r="282" spans="1:13" x14ac:dyDescent="0.25">
      <c r="A282" t="s">
        <v>11</v>
      </c>
      <c r="B282" t="s">
        <v>21</v>
      </c>
      <c r="C282" t="s">
        <v>126</v>
      </c>
      <c r="D282" s="3">
        <v>52687.7</v>
      </c>
      <c r="E282" t="s">
        <v>379</v>
      </c>
      <c r="F282" t="s">
        <v>367</v>
      </c>
      <c r="G282" s="6" t="s">
        <v>11</v>
      </c>
      <c r="H282" s="6" t="s">
        <v>21</v>
      </c>
      <c r="I282" s="6" t="s">
        <v>126</v>
      </c>
      <c r="K282" s="6" t="b">
        <v>1</v>
      </c>
      <c r="L282" s="13">
        <f>SUMIFS($D$2:$D282,$E$2:$E282,"2007-2018",$K$2:$K282,TRUE)/auxiliar!$B$3</f>
        <v>0.98827755469520007</v>
      </c>
      <c r="M282" s="13">
        <f>SUMIFS($D$2:$D282,$E$2:$E282,"2019-2024",$K$2:$K282,TRUE)/auxiliar!$B$4</f>
        <v>0.97473813605924753</v>
      </c>
    </row>
    <row r="283" spans="1:13" x14ac:dyDescent="0.25">
      <c r="A283" t="s">
        <v>11</v>
      </c>
      <c r="B283" t="s">
        <v>21</v>
      </c>
      <c r="C283" t="s">
        <v>111</v>
      </c>
      <c r="D283" s="3">
        <v>51782.63</v>
      </c>
      <c r="E283" t="s">
        <v>379</v>
      </c>
      <c r="F283" t="s">
        <v>367</v>
      </c>
      <c r="G283" s="6" t="s">
        <v>11</v>
      </c>
      <c r="H283" s="6" t="s">
        <v>21</v>
      </c>
      <c r="I283" s="6" t="s">
        <v>111</v>
      </c>
      <c r="K283" s="6" t="b">
        <v>1</v>
      </c>
      <c r="L283" s="13">
        <f>SUMIFS($D$2:$D283,$E$2:$E283,"2007-2018",$K$2:$K283,TRUE)/auxiliar!$B$3</f>
        <v>0.98827755469520007</v>
      </c>
      <c r="M283" s="13">
        <f>SUMIFS($D$2:$D283,$E$2:$E283,"2019-2024",$K$2:$K283,TRUE)/auxiliar!$B$4</f>
        <v>0.97633187257698062</v>
      </c>
    </row>
    <row r="284" spans="1:13" x14ac:dyDescent="0.25">
      <c r="A284" t="s">
        <v>12</v>
      </c>
      <c r="B284" t="s">
        <v>28</v>
      </c>
      <c r="C284" t="s">
        <v>113</v>
      </c>
      <c r="D284" s="3">
        <v>41097.03</v>
      </c>
      <c r="E284" t="s">
        <v>379</v>
      </c>
      <c r="F284" t="s">
        <v>367</v>
      </c>
      <c r="G284" s="6" t="s">
        <v>12</v>
      </c>
      <c r="H284" s="6" t="s">
        <v>28</v>
      </c>
      <c r="I284" s="6" t="s">
        <v>113</v>
      </c>
      <c r="K284" s="6" t="b">
        <v>1</v>
      </c>
      <c r="L284" s="13">
        <f>SUMIFS($D$2:$D284,$E$2:$E284,"2007-2018",$K$2:$K284,TRUE)/auxiliar!$B$3</f>
        <v>0.98827755469520007</v>
      </c>
      <c r="M284" s="13">
        <f>SUMIFS($D$2:$D284,$E$2:$E284,"2019-2024",$K$2:$K284,TRUE)/auxiliar!$B$4</f>
        <v>0.97759673373759326</v>
      </c>
    </row>
    <row r="285" spans="1:13" x14ac:dyDescent="0.25">
      <c r="A285" t="s">
        <v>12</v>
      </c>
      <c r="B285" t="s">
        <v>24</v>
      </c>
      <c r="C285" t="s">
        <v>119</v>
      </c>
      <c r="D285" s="3">
        <v>37805.22</v>
      </c>
      <c r="E285" t="s">
        <v>379</v>
      </c>
      <c r="F285" t="s">
        <v>367</v>
      </c>
      <c r="G285" s="6" t="s">
        <v>12</v>
      </c>
      <c r="H285" s="6" t="s">
        <v>24</v>
      </c>
      <c r="I285" s="6" t="s">
        <v>119</v>
      </c>
      <c r="K285" s="6" t="b">
        <v>1</v>
      </c>
      <c r="L285" s="13">
        <f>SUMIFS($D$2:$D285,$E$2:$E285,"2007-2018",$K$2:$K285,TRUE)/auxiliar!$B$3</f>
        <v>0.98827755469520007</v>
      </c>
      <c r="M285" s="13">
        <f>SUMIFS($D$2:$D285,$E$2:$E285,"2019-2024",$K$2:$K285,TRUE)/auxiliar!$B$4</f>
        <v>0.97876028143061178</v>
      </c>
    </row>
    <row r="286" spans="1:13" x14ac:dyDescent="0.25">
      <c r="A286" t="s">
        <v>11</v>
      </c>
      <c r="B286" t="s">
        <v>21</v>
      </c>
      <c r="C286" t="s">
        <v>121</v>
      </c>
      <c r="D286" s="3">
        <v>36659.43</v>
      </c>
      <c r="E286" t="s">
        <v>379</v>
      </c>
      <c r="F286" t="s">
        <v>367</v>
      </c>
      <c r="G286" s="6" t="s">
        <v>11</v>
      </c>
      <c r="H286" s="6" t="s">
        <v>21</v>
      </c>
      <c r="I286" s="6" t="s">
        <v>121</v>
      </c>
      <c r="K286" s="6" t="b">
        <v>1</v>
      </c>
      <c r="L286" s="13">
        <f>SUMIFS($D$2:$D286,$E$2:$E286,"2007-2018",$K$2:$K286,TRUE)/auxiliar!$B$3</f>
        <v>0.98827755469520007</v>
      </c>
      <c r="M286" s="13">
        <f>SUMIFS($D$2:$D286,$E$2:$E286,"2019-2024",$K$2:$K286,TRUE)/auxiliar!$B$4</f>
        <v>0.97988856464662999</v>
      </c>
    </row>
    <row r="287" spans="1:13" x14ac:dyDescent="0.25">
      <c r="A287" t="s">
        <v>12</v>
      </c>
      <c r="B287" t="s">
        <v>23</v>
      </c>
      <c r="C287" t="s">
        <v>117</v>
      </c>
      <c r="D287" s="3">
        <v>34484.78</v>
      </c>
      <c r="E287" t="s">
        <v>379</v>
      </c>
      <c r="F287" t="s">
        <v>367</v>
      </c>
      <c r="G287" s="6" t="s">
        <v>12</v>
      </c>
      <c r="H287" s="6" t="s">
        <v>23</v>
      </c>
      <c r="I287" s="6" t="s">
        <v>117</v>
      </c>
      <c r="J287" s="6" t="s">
        <v>368</v>
      </c>
      <c r="K287" s="6" t="b">
        <v>1</v>
      </c>
      <c r="L287" s="13">
        <f>SUMIFS($D$2:$D287,$E$2:$E287,"2007-2018",$K$2:$K287,TRUE)/auxiliar!$B$3</f>
        <v>0.98827755469520007</v>
      </c>
      <c r="M287" s="13">
        <f>SUMIFS($D$2:$D287,$E$2:$E287,"2019-2024",$K$2:$K287,TRUE)/auxiliar!$B$4</f>
        <v>0.98094991771409668</v>
      </c>
    </row>
    <row r="288" spans="1:13" x14ac:dyDescent="0.25">
      <c r="A288" t="s">
        <v>12</v>
      </c>
      <c r="B288" t="s">
        <v>28</v>
      </c>
      <c r="C288" t="s">
        <v>125</v>
      </c>
      <c r="D288" s="3">
        <v>31824.99</v>
      </c>
      <c r="E288" t="s">
        <v>379</v>
      </c>
      <c r="F288" t="s">
        <v>367</v>
      </c>
      <c r="G288" s="6" t="s">
        <v>12</v>
      </c>
      <c r="H288" s="6" t="s">
        <v>28</v>
      </c>
      <c r="I288" s="6" t="s">
        <v>125</v>
      </c>
      <c r="K288" s="6" t="b">
        <v>1</v>
      </c>
      <c r="L288" s="13">
        <f>SUMIFS($D$2:$D288,$E$2:$E288,"2007-2018",$K$2:$K288,TRUE)/auxiliar!$B$3</f>
        <v>0.98827755469520007</v>
      </c>
      <c r="M288" s="13">
        <f>SUMIFS($D$2:$D288,$E$2:$E288,"2019-2024",$K$2:$K288,TRUE)/auxiliar!$B$4</f>
        <v>0.98192940926830097</v>
      </c>
    </row>
    <row r="289" spans="1:13" x14ac:dyDescent="0.25">
      <c r="A289" t="s">
        <v>12</v>
      </c>
      <c r="B289" t="s">
        <v>28</v>
      </c>
      <c r="C289" t="s">
        <v>139</v>
      </c>
      <c r="D289" s="3">
        <v>31282.19</v>
      </c>
      <c r="E289" t="s">
        <v>379</v>
      </c>
      <c r="F289" t="s">
        <v>367</v>
      </c>
      <c r="G289" s="6" t="s">
        <v>12</v>
      </c>
      <c r="H289" s="6" t="s">
        <v>28</v>
      </c>
      <c r="I289" s="6" t="s">
        <v>139</v>
      </c>
      <c r="K289" s="6" t="b">
        <v>1</v>
      </c>
      <c r="L289" s="13">
        <f>SUMIFS($D$2:$D289,$E$2:$E289,"2007-2018",$K$2:$K289,TRUE)/auxiliar!$B$3</f>
        <v>0.98827755469520007</v>
      </c>
      <c r="M289" s="13">
        <f>SUMIFS($D$2:$D289,$E$2:$E289,"2019-2024",$K$2:$K289,TRUE)/auxiliar!$B$4</f>
        <v>0.98289219483090506</v>
      </c>
    </row>
    <row r="290" spans="1:13" x14ac:dyDescent="0.25">
      <c r="A290" t="s">
        <v>12</v>
      </c>
      <c r="B290" t="s">
        <v>28</v>
      </c>
      <c r="C290" t="s">
        <v>124</v>
      </c>
      <c r="D290" s="3">
        <v>31175.58</v>
      </c>
      <c r="E290" t="s">
        <v>379</v>
      </c>
      <c r="F290" t="s">
        <v>367</v>
      </c>
      <c r="G290" s="6" t="s">
        <v>12</v>
      </c>
      <c r="H290" s="6" t="s">
        <v>28</v>
      </c>
      <c r="I290" s="6" t="s">
        <v>124</v>
      </c>
      <c r="K290" s="6" t="b">
        <v>1</v>
      </c>
      <c r="L290" s="13">
        <f>SUMIFS($D$2:$D290,$E$2:$E290,"2007-2018",$K$2:$K290,TRUE)/auxiliar!$B$3</f>
        <v>0.98827755469520007</v>
      </c>
      <c r="M290" s="13">
        <f>SUMIFS($D$2:$D290,$E$2:$E290,"2019-2024",$K$2:$K290,TRUE)/auxiliar!$B$4</f>
        <v>0.98385169921118676</v>
      </c>
    </row>
    <row r="291" spans="1:13" x14ac:dyDescent="0.25">
      <c r="A291" t="s">
        <v>12</v>
      </c>
      <c r="B291" t="s">
        <v>17</v>
      </c>
      <c r="C291" t="s">
        <v>131</v>
      </c>
      <c r="D291" s="3">
        <v>29027.25</v>
      </c>
      <c r="E291" t="s">
        <v>379</v>
      </c>
      <c r="F291" t="s">
        <v>367</v>
      </c>
      <c r="G291" s="6" t="s">
        <v>12</v>
      </c>
      <c r="H291" s="6" t="s">
        <v>17</v>
      </c>
      <c r="I291" s="6" t="s">
        <v>131</v>
      </c>
      <c r="K291" s="6" t="b">
        <v>1</v>
      </c>
      <c r="L291" s="13">
        <f>SUMIFS($D$2:$D291,$E$2:$E291,"2007-2018",$K$2:$K291,TRUE)/auxiliar!$B$3</f>
        <v>0.98827755469520007</v>
      </c>
      <c r="M291" s="13">
        <f>SUMIFS($D$2:$D291,$E$2:$E291,"2019-2024",$K$2:$K291,TRUE)/auxiliar!$B$4</f>
        <v>0.98474508350500045</v>
      </c>
    </row>
    <row r="292" spans="1:13" x14ac:dyDescent="0.25">
      <c r="A292" t="s">
        <v>11</v>
      </c>
      <c r="B292" t="s">
        <v>21</v>
      </c>
      <c r="C292" t="s">
        <v>137</v>
      </c>
      <c r="D292" s="3">
        <v>29007.94</v>
      </c>
      <c r="E292" t="s">
        <v>379</v>
      </c>
      <c r="F292" t="s">
        <v>367</v>
      </c>
      <c r="G292" s="6" t="s">
        <v>11</v>
      </c>
      <c r="H292" s="6" t="s">
        <v>21</v>
      </c>
      <c r="I292" s="6" t="s">
        <v>137</v>
      </c>
      <c r="K292" s="6" t="b">
        <v>1</v>
      </c>
      <c r="L292" s="13">
        <f>SUMIFS($D$2:$D292,$E$2:$E292,"2007-2018",$K$2:$K292,TRUE)/auxiliar!$B$3</f>
        <v>0.98827755469520007</v>
      </c>
      <c r="M292" s="13">
        <f>SUMIFS($D$2:$D292,$E$2:$E292,"2019-2024",$K$2:$K292,TRUE)/auxiliar!$B$4</f>
        <v>0.98563787348654863</v>
      </c>
    </row>
    <row r="293" spans="1:13" x14ac:dyDescent="0.25">
      <c r="A293" t="s">
        <v>12</v>
      </c>
      <c r="B293" t="s">
        <v>28</v>
      </c>
      <c r="C293" t="s">
        <v>133</v>
      </c>
      <c r="D293" s="3">
        <v>28484.94</v>
      </c>
      <c r="E293" t="s">
        <v>379</v>
      </c>
      <c r="F293" t="s">
        <v>367</v>
      </c>
      <c r="G293" s="6" t="s">
        <v>12</v>
      </c>
      <c r="H293" s="6" t="s">
        <v>28</v>
      </c>
      <c r="I293" s="6" t="s">
        <v>133</v>
      </c>
      <c r="K293" s="6" t="b">
        <v>1</v>
      </c>
      <c r="L293" s="13">
        <f>SUMIFS($D$2:$D293,$E$2:$E293,"2007-2018",$K$2:$K293,TRUE)/auxiliar!$B$3</f>
        <v>0.98827755469520007</v>
      </c>
      <c r="M293" s="13">
        <f>SUMIFS($D$2:$D293,$E$2:$E293,"2019-2024",$K$2:$K293,TRUE)/auxiliar!$B$4</f>
        <v>0.98651456686970507</v>
      </c>
    </row>
    <row r="294" spans="1:13" x14ac:dyDescent="0.25">
      <c r="A294" t="s">
        <v>11</v>
      </c>
      <c r="B294" t="s">
        <v>21</v>
      </c>
      <c r="C294" t="s">
        <v>128</v>
      </c>
      <c r="D294" s="3">
        <v>26037.72</v>
      </c>
      <c r="E294" t="s">
        <v>379</v>
      </c>
      <c r="F294" t="s">
        <v>367</v>
      </c>
      <c r="G294" s="6" t="s">
        <v>11</v>
      </c>
      <c r="H294" s="6" t="s">
        <v>21</v>
      </c>
      <c r="I294" s="6" t="s">
        <v>128</v>
      </c>
      <c r="K294" s="6" t="b">
        <v>1</v>
      </c>
      <c r="L294" s="13">
        <f>SUMIFS($D$2:$D294,$E$2:$E294,"2007-2018",$K$2:$K294,TRUE)/auxiliar!$B$3</f>
        <v>0.98827755469520007</v>
      </c>
      <c r="M294" s="13">
        <f>SUMIFS($D$2:$D294,$E$2:$E294,"2019-2024",$K$2:$K294,TRUE)/auxiliar!$B$4</f>
        <v>0.98731594109891097</v>
      </c>
    </row>
    <row r="295" spans="1:13" x14ac:dyDescent="0.25">
      <c r="A295" t="s">
        <v>12</v>
      </c>
      <c r="B295" t="s">
        <v>28</v>
      </c>
      <c r="C295" t="s">
        <v>141</v>
      </c>
      <c r="D295" s="3">
        <v>21482.84</v>
      </c>
      <c r="E295" t="s">
        <v>379</v>
      </c>
      <c r="F295" t="s">
        <v>367</v>
      </c>
      <c r="G295" s="6" t="s">
        <v>12</v>
      </c>
      <c r="H295" s="6" t="s">
        <v>28</v>
      </c>
      <c r="I295" s="6" t="s">
        <v>141</v>
      </c>
      <c r="K295" s="6" t="b">
        <v>1</v>
      </c>
      <c r="L295" s="13">
        <f>SUMIFS($D$2:$D295,$E$2:$E295,"2007-2018",$K$2:$K295,TRUE)/auxiliar!$B$3</f>
        <v>0.98827755469520007</v>
      </c>
      <c r="M295" s="13">
        <f>SUMIFS($D$2:$D295,$E$2:$E295,"2019-2024",$K$2:$K295,TRUE)/auxiliar!$B$4</f>
        <v>0.98797712780597124</v>
      </c>
    </row>
    <row r="296" spans="1:13" x14ac:dyDescent="0.25">
      <c r="A296" t="s">
        <v>11</v>
      </c>
      <c r="B296" t="s">
        <v>21</v>
      </c>
      <c r="C296" t="s">
        <v>147</v>
      </c>
      <c r="D296" s="3">
        <v>20853.349999999999</v>
      </c>
      <c r="E296" t="s">
        <v>379</v>
      </c>
      <c r="F296" t="s">
        <v>367</v>
      </c>
      <c r="G296" s="6" t="s">
        <v>11</v>
      </c>
      <c r="H296" s="6" t="s">
        <v>21</v>
      </c>
      <c r="I296" s="6" t="s">
        <v>147</v>
      </c>
      <c r="K296" s="6" t="b">
        <v>1</v>
      </c>
      <c r="L296" s="13">
        <f>SUMIFS($D$2:$D296,$E$2:$E296,"2007-2018",$K$2:$K296,TRUE)/auxiliar!$B$3</f>
        <v>0.98827755469520007</v>
      </c>
      <c r="M296" s="13">
        <f>SUMIFS($D$2:$D296,$E$2:$E296,"2019-2024",$K$2:$K296,TRUE)/auxiliar!$B$4</f>
        <v>0.98861894042560972</v>
      </c>
    </row>
    <row r="297" spans="1:13" x14ac:dyDescent="0.25">
      <c r="A297" t="s">
        <v>11</v>
      </c>
      <c r="B297" t="s">
        <v>21</v>
      </c>
      <c r="C297" t="s">
        <v>149</v>
      </c>
      <c r="D297" s="3">
        <v>20296.97</v>
      </c>
      <c r="E297" t="s">
        <v>379</v>
      </c>
      <c r="F297" t="s">
        <v>367</v>
      </c>
      <c r="G297" s="6" t="s">
        <v>11</v>
      </c>
      <c r="H297" s="6" t="s">
        <v>21</v>
      </c>
      <c r="I297" s="6" t="s">
        <v>149</v>
      </c>
      <c r="K297" s="6" t="b">
        <v>1</v>
      </c>
      <c r="L297" s="13">
        <f>SUMIFS($D$2:$D297,$E$2:$E297,"2007-2018",$K$2:$K297,TRUE)/auxiliar!$B$3</f>
        <v>0.98827755469520007</v>
      </c>
      <c r="M297" s="13">
        <f>SUMIFS($D$2:$D297,$E$2:$E297,"2019-2024",$K$2:$K297,TRUE)/auxiliar!$B$4</f>
        <v>0.98924362909608343</v>
      </c>
    </row>
    <row r="298" spans="1:13" x14ac:dyDescent="0.25">
      <c r="A298" t="s">
        <v>12</v>
      </c>
      <c r="B298" t="s">
        <v>16</v>
      </c>
      <c r="C298" t="s">
        <v>122</v>
      </c>
      <c r="D298" s="3">
        <v>19174.46</v>
      </c>
      <c r="E298" t="s">
        <v>379</v>
      </c>
      <c r="F298" t="s">
        <v>367</v>
      </c>
      <c r="G298" s="6" t="s">
        <v>12</v>
      </c>
      <c r="H298" s="6" t="s">
        <v>16</v>
      </c>
      <c r="I298" s="6" t="s">
        <v>122</v>
      </c>
      <c r="J298" s="6" t="s">
        <v>373</v>
      </c>
      <c r="K298" s="6" t="b">
        <v>1</v>
      </c>
      <c r="L298" s="13">
        <f>SUMIFS($D$2:$D298,$E$2:$E298,"2007-2018",$K$2:$K298,TRUE)/auxiliar!$B$3</f>
        <v>0.98827755469520007</v>
      </c>
      <c r="M298" s="13">
        <f>SUMIFS($D$2:$D298,$E$2:$E298,"2019-2024",$K$2:$K298,TRUE)/auxiliar!$B$4</f>
        <v>0.98983376978823856</v>
      </c>
    </row>
    <row r="299" spans="1:13" x14ac:dyDescent="0.25">
      <c r="A299" t="s">
        <v>11</v>
      </c>
      <c r="B299" t="s">
        <v>21</v>
      </c>
      <c r="C299" t="s">
        <v>151</v>
      </c>
      <c r="D299" s="3">
        <v>18282.060000000001</v>
      </c>
      <c r="E299" t="s">
        <v>379</v>
      </c>
      <c r="F299" t="s">
        <v>367</v>
      </c>
      <c r="G299" s="6" t="s">
        <v>11</v>
      </c>
      <c r="H299" s="6" t="s">
        <v>21</v>
      </c>
      <c r="I299" s="6" t="s">
        <v>151</v>
      </c>
      <c r="K299" s="6" t="b">
        <v>1</v>
      </c>
      <c r="L299" s="13">
        <f>SUMIFS($D$2:$D299,$E$2:$E299,"2007-2018",$K$2:$K299,TRUE)/auxiliar!$B$3</f>
        <v>0.98827755469520007</v>
      </c>
      <c r="M299" s="13">
        <f>SUMIFS($D$2:$D299,$E$2:$E299,"2019-2024",$K$2:$K299,TRUE)/auxiliar!$B$4</f>
        <v>0.99039644469759303</v>
      </c>
    </row>
    <row r="300" spans="1:13" x14ac:dyDescent="0.25">
      <c r="A300" t="s">
        <v>12</v>
      </c>
      <c r="B300" t="s">
        <v>23</v>
      </c>
      <c r="C300" t="s">
        <v>165</v>
      </c>
      <c r="D300" s="3">
        <v>15806.06</v>
      </c>
      <c r="E300" t="s">
        <v>379</v>
      </c>
      <c r="F300" t="s">
        <v>367</v>
      </c>
      <c r="G300" s="6" t="s">
        <v>12</v>
      </c>
      <c r="H300" s="6" t="s">
        <v>23</v>
      </c>
      <c r="I300" s="6" t="s">
        <v>165</v>
      </c>
      <c r="K300" s="6" t="b">
        <v>1</v>
      </c>
      <c r="L300" s="13">
        <f>SUMIFS($D$2:$D300,$E$2:$E300,"2007-2018",$K$2:$K300,TRUE)/auxiliar!$B$3</f>
        <v>0.98827755469520007</v>
      </c>
      <c r="M300" s="13">
        <f>SUMIFS($D$2:$D300,$E$2:$E300,"2019-2024",$K$2:$K300,TRUE)/auxiliar!$B$4</f>
        <v>0.99088291467842404</v>
      </c>
    </row>
    <row r="301" spans="1:13" x14ac:dyDescent="0.25">
      <c r="A301" t="s">
        <v>11</v>
      </c>
      <c r="B301" t="s">
        <v>21</v>
      </c>
      <c r="C301" t="s">
        <v>155</v>
      </c>
      <c r="D301" s="3">
        <v>14226.88</v>
      </c>
      <c r="E301" t="s">
        <v>379</v>
      </c>
      <c r="F301" t="s">
        <v>367</v>
      </c>
      <c r="G301" s="6" t="s">
        <v>11</v>
      </c>
      <c r="H301" s="6" t="s">
        <v>21</v>
      </c>
      <c r="I301" s="6" t="s">
        <v>155</v>
      </c>
      <c r="K301" s="6" t="b">
        <v>1</v>
      </c>
      <c r="L301" s="13">
        <f>SUMIFS($D$2:$D301,$E$2:$E301,"2007-2018",$K$2:$K301,TRUE)/auxiliar!$B$3</f>
        <v>0.98827755469520007</v>
      </c>
      <c r="M301" s="13">
        <f>SUMIFS($D$2:$D301,$E$2:$E301,"2019-2024",$K$2:$K301,TRUE)/auxiliar!$B$4</f>
        <v>0.99132078154979397</v>
      </c>
    </row>
    <row r="302" spans="1:13" x14ac:dyDescent="0.25">
      <c r="A302" t="s">
        <v>11</v>
      </c>
      <c r="B302" t="s">
        <v>21</v>
      </c>
      <c r="C302" t="s">
        <v>161</v>
      </c>
      <c r="D302" s="3">
        <v>13655.27</v>
      </c>
      <c r="E302" t="s">
        <v>379</v>
      </c>
      <c r="F302" t="s">
        <v>367</v>
      </c>
      <c r="G302" s="6" t="s">
        <v>11</v>
      </c>
      <c r="H302" s="6" t="s">
        <v>21</v>
      </c>
      <c r="I302" s="6" t="s">
        <v>161</v>
      </c>
      <c r="K302" s="6" t="b">
        <v>1</v>
      </c>
      <c r="L302" s="13">
        <f>SUMIFS($D$2:$D302,$E$2:$E302,"2007-2018",$K$2:$K302,TRUE)/auxiliar!$B$3</f>
        <v>0.98827755469520007</v>
      </c>
      <c r="M302" s="13">
        <f>SUMIFS($D$2:$D302,$E$2:$E302,"2019-2024",$K$2:$K302,TRUE)/auxiliar!$B$4</f>
        <v>0.99174105573166738</v>
      </c>
    </row>
    <row r="303" spans="1:13" x14ac:dyDescent="0.25">
      <c r="A303" t="s">
        <v>11</v>
      </c>
      <c r="B303" t="s">
        <v>21</v>
      </c>
      <c r="C303" t="s">
        <v>168</v>
      </c>
      <c r="D303" s="3">
        <v>12258.73</v>
      </c>
      <c r="E303" t="s">
        <v>379</v>
      </c>
      <c r="F303" t="s">
        <v>367</v>
      </c>
      <c r="G303" s="6" t="s">
        <v>11</v>
      </c>
      <c r="H303" s="6" t="s">
        <v>21</v>
      </c>
      <c r="I303" s="6" t="s">
        <v>168</v>
      </c>
      <c r="K303" s="6" t="b">
        <v>1</v>
      </c>
      <c r="L303" s="13">
        <f>SUMIFS($D$2:$D303,$E$2:$E303,"2007-2018",$K$2:$K303,TRUE)/auxiliar!$B$3</f>
        <v>0.98827755469520007</v>
      </c>
      <c r="M303" s="13">
        <f>SUMIFS($D$2:$D303,$E$2:$E303,"2019-2024",$K$2:$K303,TRUE)/auxiliar!$B$4</f>
        <v>0.9921183479947685</v>
      </c>
    </row>
    <row r="304" spans="1:13" x14ac:dyDescent="0.25">
      <c r="A304" t="s">
        <v>12</v>
      </c>
      <c r="B304" t="s">
        <v>28</v>
      </c>
      <c r="C304" t="s">
        <v>172</v>
      </c>
      <c r="D304" s="3">
        <v>10760.2</v>
      </c>
      <c r="E304" t="s">
        <v>379</v>
      </c>
      <c r="F304" t="s">
        <v>367</v>
      </c>
      <c r="G304" s="6" t="s">
        <v>12</v>
      </c>
      <c r="H304" s="6" t="s">
        <v>28</v>
      </c>
      <c r="I304" s="6" t="s">
        <v>172</v>
      </c>
      <c r="K304" s="6" t="b">
        <v>1</v>
      </c>
      <c r="L304" s="13">
        <f>SUMIFS($D$2:$D304,$E$2:$E304,"2007-2018",$K$2:$K304,TRUE)/auxiliar!$B$3</f>
        <v>0.98827755469520007</v>
      </c>
      <c r="M304" s="13">
        <f>SUMIFS($D$2:$D304,$E$2:$E304,"2019-2024",$K$2:$K304,TRUE)/auxiliar!$B$4</f>
        <v>0.99244951934852388</v>
      </c>
    </row>
    <row r="305" spans="1:13" x14ac:dyDescent="0.25">
      <c r="A305" t="s">
        <v>12</v>
      </c>
      <c r="B305" t="s">
        <v>18</v>
      </c>
      <c r="C305" t="s">
        <v>156</v>
      </c>
      <c r="D305" s="3">
        <v>10595.12</v>
      </c>
      <c r="E305" t="s">
        <v>379</v>
      </c>
      <c r="F305" t="s">
        <v>367</v>
      </c>
      <c r="G305" s="6" t="s">
        <v>12</v>
      </c>
      <c r="H305" s="6" t="s">
        <v>18</v>
      </c>
      <c r="I305" s="6" t="s">
        <v>156</v>
      </c>
      <c r="K305" s="6" t="b">
        <v>1</v>
      </c>
      <c r="L305" s="13">
        <f>SUMIFS($D$2:$D305,$E$2:$E305,"2007-2018",$K$2:$K305,TRUE)/auxiliar!$B$3</f>
        <v>0.98827755469520007</v>
      </c>
      <c r="M305" s="13">
        <f>SUMIFS($D$2:$D305,$E$2:$E305,"2019-2024",$K$2:$K305,TRUE)/auxiliar!$B$4</f>
        <v>0.99277560996334524</v>
      </c>
    </row>
    <row r="306" spans="1:13" x14ac:dyDescent="0.25">
      <c r="A306" t="s">
        <v>11</v>
      </c>
      <c r="B306" t="s">
        <v>21</v>
      </c>
      <c r="C306" t="s">
        <v>180</v>
      </c>
      <c r="D306" s="3">
        <v>10557.6</v>
      </c>
      <c r="E306" t="s">
        <v>379</v>
      </c>
      <c r="F306" t="s">
        <v>367</v>
      </c>
      <c r="G306" s="6" t="s">
        <v>11</v>
      </c>
      <c r="H306" s="6" t="s">
        <v>21</v>
      </c>
      <c r="I306" s="6" t="s">
        <v>180</v>
      </c>
      <c r="K306" s="6" t="b">
        <v>1</v>
      </c>
      <c r="L306" s="13">
        <f>SUMIFS($D$2:$D306,$E$2:$E306,"2007-2018",$K$2:$K306,TRUE)/auxiliar!$B$3</f>
        <v>0.98827755469520007</v>
      </c>
      <c r="M306" s="13">
        <f>SUMIFS($D$2:$D306,$E$2:$E306,"2019-2024",$K$2:$K306,TRUE)/auxiliar!$B$4</f>
        <v>0.99310054580881346</v>
      </c>
    </row>
    <row r="307" spans="1:13" x14ac:dyDescent="0.25">
      <c r="A307" t="s">
        <v>12</v>
      </c>
      <c r="B307" t="s">
        <v>24</v>
      </c>
      <c r="C307" t="s">
        <v>167</v>
      </c>
      <c r="D307" s="3">
        <v>10341.17</v>
      </c>
      <c r="E307" t="s">
        <v>379</v>
      </c>
      <c r="F307" t="s">
        <v>367</v>
      </c>
      <c r="G307" s="6" t="s">
        <v>12</v>
      </c>
      <c r="H307" s="6" t="s">
        <v>24</v>
      </c>
      <c r="I307" s="6" t="s">
        <v>167</v>
      </c>
      <c r="K307" s="6" t="b">
        <v>1</v>
      </c>
      <c r="L307" s="13">
        <f>SUMIFS($D$2:$D307,$E$2:$E307,"2007-2018",$K$2:$K307,TRUE)/auxiliar!$B$3</f>
        <v>0.98827755469520007</v>
      </c>
      <c r="M307" s="13">
        <f>SUMIFS($D$2:$D307,$E$2:$E307,"2019-2024",$K$2:$K307,TRUE)/auxiliar!$B$4</f>
        <v>0.9934188204940716</v>
      </c>
    </row>
    <row r="308" spans="1:13" x14ac:dyDescent="0.25">
      <c r="A308" t="s">
        <v>12</v>
      </c>
      <c r="B308" t="s">
        <v>18</v>
      </c>
      <c r="C308" t="s">
        <v>159</v>
      </c>
      <c r="D308" s="3">
        <v>10125.74</v>
      </c>
      <c r="E308" t="s">
        <v>379</v>
      </c>
      <c r="F308" t="s">
        <v>367</v>
      </c>
      <c r="G308" s="6" t="s">
        <v>12</v>
      </c>
      <c r="H308" s="6" t="s">
        <v>18</v>
      </c>
      <c r="I308" s="6" t="s">
        <v>159</v>
      </c>
      <c r="K308" s="6" t="b">
        <v>1</v>
      </c>
      <c r="L308" s="13">
        <f>SUMIFS($D$2:$D308,$E$2:$E308,"2007-2018",$K$2:$K308,TRUE)/auxiliar!$B$3</f>
        <v>0.98827755469520007</v>
      </c>
      <c r="M308" s="13">
        <f>SUMIFS($D$2:$D308,$E$2:$E308,"2019-2024",$K$2:$K308,TRUE)/auxiliar!$B$4</f>
        <v>0.99373046479655425</v>
      </c>
    </row>
    <row r="309" spans="1:13" x14ac:dyDescent="0.25">
      <c r="A309" t="s">
        <v>11</v>
      </c>
      <c r="B309" t="s">
        <v>21</v>
      </c>
      <c r="C309" t="s">
        <v>174</v>
      </c>
      <c r="D309" s="3">
        <v>9956.68</v>
      </c>
      <c r="E309" t="s">
        <v>379</v>
      </c>
      <c r="F309" t="s">
        <v>367</v>
      </c>
      <c r="G309" s="6" t="s">
        <v>11</v>
      </c>
      <c r="H309" s="6" t="s">
        <v>21</v>
      </c>
      <c r="I309" s="6" t="s">
        <v>174</v>
      </c>
      <c r="K309" s="6" t="b">
        <v>1</v>
      </c>
      <c r="L309" s="13">
        <f>SUMIFS($D$2:$D309,$E$2:$E309,"2007-2018",$K$2:$K309,TRUE)/auxiliar!$B$3</f>
        <v>0.98827755469520007</v>
      </c>
      <c r="M309" s="13">
        <f>SUMIFS($D$2:$D309,$E$2:$E309,"2019-2024",$K$2:$K309,TRUE)/auxiliar!$B$4</f>
        <v>0.99403690586591253</v>
      </c>
    </row>
    <row r="310" spans="1:13" x14ac:dyDescent="0.25">
      <c r="A310" t="s">
        <v>12</v>
      </c>
      <c r="B310" t="s">
        <v>18</v>
      </c>
      <c r="C310" t="s">
        <v>176</v>
      </c>
      <c r="D310" s="3">
        <v>9108.6299999999992</v>
      </c>
      <c r="E310" t="s">
        <v>379</v>
      </c>
      <c r="F310" t="s">
        <v>367</v>
      </c>
      <c r="G310" s="6" t="s">
        <v>12</v>
      </c>
      <c r="H310" s="6" t="s">
        <v>18</v>
      </c>
      <c r="I310" s="6" t="s">
        <v>176</v>
      </c>
      <c r="K310" s="6" t="b">
        <v>1</v>
      </c>
      <c r="L310" s="13">
        <f>SUMIFS($D$2:$D310,$E$2:$E310,"2007-2018",$K$2:$K310,TRUE)/auxiliar!$B$3</f>
        <v>0.98827755469520007</v>
      </c>
      <c r="M310" s="13">
        <f>SUMIFS($D$2:$D310,$E$2:$E310,"2019-2024",$K$2:$K310,TRUE)/auxiliar!$B$4</f>
        <v>0.9943172461317028</v>
      </c>
    </row>
    <row r="311" spans="1:13" x14ac:dyDescent="0.25">
      <c r="A311" t="s">
        <v>11</v>
      </c>
      <c r="B311" t="s">
        <v>21</v>
      </c>
      <c r="C311" t="s">
        <v>181</v>
      </c>
      <c r="D311" s="3">
        <v>8808.56</v>
      </c>
      <c r="E311" t="s">
        <v>379</v>
      </c>
      <c r="F311" t="s">
        <v>367</v>
      </c>
      <c r="G311" s="6" t="s">
        <v>11</v>
      </c>
      <c r="H311" s="6" t="s">
        <v>21</v>
      </c>
      <c r="I311" s="6" t="s">
        <v>181</v>
      </c>
      <c r="K311" s="6" t="b">
        <v>1</v>
      </c>
      <c r="L311" s="13">
        <f>SUMIFS($D$2:$D311,$E$2:$E311,"2007-2018",$K$2:$K311,TRUE)/auxiliar!$B$3</f>
        <v>0.98827755469520007</v>
      </c>
      <c r="M311" s="13">
        <f>SUMIFS($D$2:$D311,$E$2:$E311,"2019-2024",$K$2:$K311,TRUE)/auxiliar!$B$4</f>
        <v>0.99458835101263754</v>
      </c>
    </row>
    <row r="312" spans="1:13" x14ac:dyDescent="0.25">
      <c r="A312" t="s">
        <v>12</v>
      </c>
      <c r="B312" t="s">
        <v>18</v>
      </c>
      <c r="C312" t="s">
        <v>170</v>
      </c>
      <c r="D312" s="3">
        <v>8671.36</v>
      </c>
      <c r="E312" t="s">
        <v>379</v>
      </c>
      <c r="F312" t="s">
        <v>367</v>
      </c>
      <c r="G312" s="6" t="s">
        <v>12</v>
      </c>
      <c r="H312" s="6" t="s">
        <v>18</v>
      </c>
      <c r="I312" s="6" t="s">
        <v>170</v>
      </c>
      <c r="K312" s="6" t="b">
        <v>1</v>
      </c>
      <c r="L312" s="13">
        <f>SUMIFS($D$2:$D312,$E$2:$E312,"2007-2018",$K$2:$K312,TRUE)/auxiliar!$B$3</f>
        <v>0.98827755469520007</v>
      </c>
      <c r="M312" s="13">
        <f>SUMIFS($D$2:$D312,$E$2:$E312,"2019-2024",$K$2:$K312,TRUE)/auxiliar!$B$4</f>
        <v>0.99485523322952008</v>
      </c>
    </row>
    <row r="313" spans="1:13" x14ac:dyDescent="0.25">
      <c r="A313" t="s">
        <v>11</v>
      </c>
      <c r="B313" t="s">
        <v>21</v>
      </c>
      <c r="C313" t="s">
        <v>182</v>
      </c>
      <c r="D313" s="3">
        <v>8089.21</v>
      </c>
      <c r="E313" t="s">
        <v>379</v>
      </c>
      <c r="F313" t="s">
        <v>367</v>
      </c>
      <c r="G313" s="6" t="s">
        <v>11</v>
      </c>
      <c r="H313" s="6" t="s">
        <v>21</v>
      </c>
      <c r="I313" s="6" t="s">
        <v>182</v>
      </c>
      <c r="K313" s="6" t="b">
        <v>1</v>
      </c>
      <c r="L313" s="13">
        <f>SUMIFS($D$2:$D313,$E$2:$E313,"2007-2018",$K$2:$K313,TRUE)/auxiliar!$B$3</f>
        <v>0.98827755469520007</v>
      </c>
      <c r="M313" s="13">
        <f>SUMIFS($D$2:$D313,$E$2:$E313,"2019-2024",$K$2:$K313,TRUE)/auxiliar!$B$4</f>
        <v>0.99510419836274366</v>
      </c>
    </row>
    <row r="314" spans="1:13" x14ac:dyDescent="0.25">
      <c r="A314" t="s">
        <v>12</v>
      </c>
      <c r="B314" t="s">
        <v>24</v>
      </c>
      <c r="C314" t="s">
        <v>164</v>
      </c>
      <c r="D314" s="3">
        <v>7986.75</v>
      </c>
      <c r="E314" t="s">
        <v>379</v>
      </c>
      <c r="F314" t="s">
        <v>367</v>
      </c>
      <c r="G314" s="6" t="s">
        <v>12</v>
      </c>
      <c r="H314" s="6" t="s">
        <v>24</v>
      </c>
      <c r="I314" s="6" t="s">
        <v>164</v>
      </c>
      <c r="K314" s="6" t="b">
        <v>1</v>
      </c>
      <c r="L314" s="13">
        <f>SUMIFS($D$2:$D314,$E$2:$E314,"2007-2018",$K$2:$K314,TRUE)/auxiliar!$B$3</f>
        <v>0.98827755469520007</v>
      </c>
      <c r="M314" s="13">
        <f>SUMIFS($D$2:$D314,$E$2:$E314,"2019-2024",$K$2:$K314,TRUE)/auxiliar!$B$4</f>
        <v>0.99535001003999923</v>
      </c>
    </row>
    <row r="315" spans="1:13" x14ac:dyDescent="0.25">
      <c r="A315" t="s">
        <v>12</v>
      </c>
      <c r="B315" t="s">
        <v>28</v>
      </c>
      <c r="C315" t="s">
        <v>195</v>
      </c>
      <c r="D315" s="3">
        <v>7932.58</v>
      </c>
      <c r="E315" t="s">
        <v>379</v>
      </c>
      <c r="F315" t="s">
        <v>367</v>
      </c>
      <c r="G315" s="6" t="s">
        <v>12</v>
      </c>
      <c r="H315" s="6" t="s">
        <v>28</v>
      </c>
      <c r="I315" s="6" t="s">
        <v>195</v>
      </c>
      <c r="K315" s="6" t="b">
        <v>1</v>
      </c>
      <c r="L315" s="13">
        <f>SUMIFS($D$2:$D315,$E$2:$E315,"2007-2018",$K$2:$K315,TRUE)/auxiliar!$B$3</f>
        <v>0.98827755469520007</v>
      </c>
      <c r="M315" s="13">
        <f>SUMIFS($D$2:$D315,$E$2:$E315,"2019-2024",$K$2:$K315,TRUE)/auxiliar!$B$4</f>
        <v>0.99559415450361255</v>
      </c>
    </row>
    <row r="316" spans="1:13" x14ac:dyDescent="0.25">
      <c r="A316" t="s">
        <v>12</v>
      </c>
      <c r="B316" t="s">
        <v>28</v>
      </c>
      <c r="C316" t="s">
        <v>184</v>
      </c>
      <c r="D316" s="3">
        <v>7826.15</v>
      </c>
      <c r="E316" t="s">
        <v>379</v>
      </c>
      <c r="F316" t="s">
        <v>367</v>
      </c>
      <c r="G316" s="6" t="s">
        <v>12</v>
      </c>
      <c r="H316" s="6" t="s">
        <v>28</v>
      </c>
      <c r="I316" s="6" t="s">
        <v>184</v>
      </c>
      <c r="K316" s="6" t="b">
        <v>1</v>
      </c>
      <c r="L316" s="13">
        <f>SUMIFS($D$2:$D316,$E$2:$E316,"2007-2018",$K$2:$K316,TRUE)/auxiliar!$B$3</f>
        <v>0.98827755469520007</v>
      </c>
      <c r="M316" s="13">
        <f>SUMIFS($D$2:$D316,$E$2:$E316,"2019-2024",$K$2:$K316,TRUE)/auxiliar!$B$4</f>
        <v>0.99583502332484186</v>
      </c>
    </row>
    <row r="317" spans="1:13" x14ac:dyDescent="0.25">
      <c r="A317" t="s">
        <v>11</v>
      </c>
      <c r="B317" t="s">
        <v>21</v>
      </c>
      <c r="C317" t="s">
        <v>142</v>
      </c>
      <c r="D317" s="3">
        <v>7592.5</v>
      </c>
      <c r="E317" t="s">
        <v>379</v>
      </c>
      <c r="F317" t="s">
        <v>367</v>
      </c>
      <c r="G317" s="6" t="s">
        <v>11</v>
      </c>
      <c r="H317" s="6" t="s">
        <v>21</v>
      </c>
      <c r="I317" s="6" t="s">
        <v>142</v>
      </c>
      <c r="K317" s="6" t="b">
        <v>1</v>
      </c>
      <c r="L317" s="13">
        <f>SUMIFS($D$2:$D317,$E$2:$E317,"2007-2018",$K$2:$K317,TRUE)/auxiliar!$B$3</f>
        <v>0.98827755469520007</v>
      </c>
      <c r="M317" s="13">
        <f>SUMIFS($D$2:$D317,$E$2:$E317,"2019-2024",$K$2:$K317,TRUE)/auxiliar!$B$4</f>
        <v>0.99606870099843414</v>
      </c>
    </row>
    <row r="318" spans="1:13" x14ac:dyDescent="0.25">
      <c r="A318" t="s">
        <v>11</v>
      </c>
      <c r="B318" t="s">
        <v>33</v>
      </c>
      <c r="C318" t="s">
        <v>185</v>
      </c>
      <c r="D318" s="3">
        <v>7031.1</v>
      </c>
      <c r="E318" t="s">
        <v>379</v>
      </c>
      <c r="F318" t="s">
        <v>367</v>
      </c>
      <c r="G318" s="6" t="s">
        <v>11</v>
      </c>
      <c r="H318" s="6" t="s">
        <v>33</v>
      </c>
      <c r="I318" s="6" t="s">
        <v>185</v>
      </c>
      <c r="K318" s="6" t="b">
        <v>1</v>
      </c>
      <c r="L318" s="13">
        <f>SUMIFS($D$2:$D318,$E$2:$E318,"2007-2018",$K$2:$K318,TRUE)/auxiliar!$B$3</f>
        <v>0.98827755469520007</v>
      </c>
      <c r="M318" s="13">
        <f>SUMIFS($D$2:$D318,$E$2:$E318,"2019-2024",$K$2:$K318,TRUE)/auxiliar!$B$4</f>
        <v>0.99628510022013905</v>
      </c>
    </row>
    <row r="319" spans="1:13" x14ac:dyDescent="0.25">
      <c r="A319" t="s">
        <v>11</v>
      </c>
      <c r="B319" t="s">
        <v>17</v>
      </c>
      <c r="C319" t="s">
        <v>188</v>
      </c>
      <c r="D319" s="3">
        <v>6648.21</v>
      </c>
      <c r="E319" t="s">
        <v>379</v>
      </c>
      <c r="F319" t="s">
        <v>367</v>
      </c>
      <c r="G319" s="6" t="s">
        <v>11</v>
      </c>
      <c r="H319" s="6" t="s">
        <v>17</v>
      </c>
      <c r="I319" s="6" t="s">
        <v>188</v>
      </c>
      <c r="K319" s="6" t="b">
        <v>1</v>
      </c>
      <c r="L319" s="13">
        <f>SUMIFS($D$2:$D319,$E$2:$E319,"2007-2018",$K$2:$K319,TRUE)/auxiliar!$B$3</f>
        <v>0.98827755469520007</v>
      </c>
      <c r="M319" s="13">
        <f>SUMIFS($D$2:$D319,$E$2:$E319,"2019-2024",$K$2:$K319,TRUE)/auxiliar!$B$4</f>
        <v>0.99648971506983985</v>
      </c>
    </row>
    <row r="320" spans="1:13" x14ac:dyDescent="0.25">
      <c r="A320" t="s">
        <v>12</v>
      </c>
      <c r="B320" t="s">
        <v>24</v>
      </c>
      <c r="C320" t="s">
        <v>193</v>
      </c>
      <c r="D320" s="3">
        <v>6474.89</v>
      </c>
      <c r="E320" t="s">
        <v>379</v>
      </c>
      <c r="F320" t="s">
        <v>367</v>
      </c>
      <c r="G320" s="6" t="s">
        <v>12</v>
      </c>
      <c r="H320" s="6" t="s">
        <v>24</v>
      </c>
      <c r="I320" s="6" t="s">
        <v>193</v>
      </c>
      <c r="K320" s="6" t="b">
        <v>1</v>
      </c>
      <c r="L320" s="13">
        <f>SUMIFS($D$2:$D320,$E$2:$E320,"2007-2018",$K$2:$K320,TRUE)/auxiliar!$B$3</f>
        <v>0.98827755469520007</v>
      </c>
      <c r="M320" s="13">
        <f>SUMIFS($D$2:$D320,$E$2:$E320,"2019-2024",$K$2:$K320,TRUE)/auxiliar!$B$4</f>
        <v>0.99668899557454393</v>
      </c>
    </row>
    <row r="321" spans="1:13" x14ac:dyDescent="0.25">
      <c r="A321" t="s">
        <v>11</v>
      </c>
      <c r="B321" t="s">
        <v>33</v>
      </c>
      <c r="C321" t="s">
        <v>179</v>
      </c>
      <c r="D321" s="3">
        <v>5553.25</v>
      </c>
      <c r="E321" t="s">
        <v>379</v>
      </c>
      <c r="F321" t="s">
        <v>367</v>
      </c>
      <c r="G321" s="6" t="s">
        <v>11</v>
      </c>
      <c r="H321" s="6" t="s">
        <v>33</v>
      </c>
      <c r="I321" s="6" t="s">
        <v>179</v>
      </c>
      <c r="K321" s="6" t="b">
        <v>1</v>
      </c>
      <c r="L321" s="13">
        <f>SUMIFS($D$2:$D321,$E$2:$E321,"2007-2018",$K$2:$K321,TRUE)/auxiliar!$B$3</f>
        <v>0.98827755469520007</v>
      </c>
      <c r="M321" s="13">
        <f>SUMIFS($D$2:$D321,$E$2:$E321,"2019-2024",$K$2:$K321,TRUE)/auxiliar!$B$4</f>
        <v>0.99685991036425425</v>
      </c>
    </row>
    <row r="322" spans="1:13" x14ac:dyDescent="0.25">
      <c r="A322" t="s">
        <v>12</v>
      </c>
      <c r="B322" t="s">
        <v>28</v>
      </c>
      <c r="C322" t="s">
        <v>196</v>
      </c>
      <c r="D322" s="3">
        <v>4987</v>
      </c>
      <c r="E322" t="s">
        <v>379</v>
      </c>
      <c r="F322" t="s">
        <v>367</v>
      </c>
      <c r="G322" s="6" t="s">
        <v>12</v>
      </c>
      <c r="H322" s="6" t="s">
        <v>28</v>
      </c>
      <c r="I322" s="6" t="s">
        <v>196</v>
      </c>
      <c r="K322" s="6" t="b">
        <v>1</v>
      </c>
      <c r="L322" s="13">
        <f>SUMIFS($D$2:$D322,$E$2:$E322,"2007-2018",$K$2:$K322,TRUE)/auxiliar!$B$3</f>
        <v>0.98827755469520007</v>
      </c>
      <c r="M322" s="13">
        <f>SUMIFS($D$2:$D322,$E$2:$E322,"2019-2024",$K$2:$K322,TRUE)/auxiliar!$B$4</f>
        <v>0.99701339743151862</v>
      </c>
    </row>
    <row r="323" spans="1:13" x14ac:dyDescent="0.25">
      <c r="A323" t="s">
        <v>12</v>
      </c>
      <c r="B323" t="s">
        <v>28</v>
      </c>
      <c r="C323" t="s">
        <v>197</v>
      </c>
      <c r="D323" s="3">
        <v>4878.92</v>
      </c>
      <c r="E323" t="s">
        <v>379</v>
      </c>
      <c r="F323" t="s">
        <v>367</v>
      </c>
      <c r="G323" s="6" t="s">
        <v>12</v>
      </c>
      <c r="H323" s="6" t="s">
        <v>28</v>
      </c>
      <c r="I323" s="6" t="s">
        <v>197</v>
      </c>
      <c r="K323" s="6" t="b">
        <v>1</v>
      </c>
      <c r="L323" s="13">
        <f>SUMIFS($D$2:$D323,$E$2:$E323,"2007-2018",$K$2:$K323,TRUE)/auxiliar!$B$3</f>
        <v>0.98827755469520007</v>
      </c>
      <c r="M323" s="13">
        <f>SUMIFS($D$2:$D323,$E$2:$E323,"2019-2024",$K$2:$K323,TRUE)/auxiliar!$B$4</f>
        <v>0.99716355807363166</v>
      </c>
    </row>
    <row r="324" spans="1:13" x14ac:dyDescent="0.25">
      <c r="A324" t="s">
        <v>12</v>
      </c>
      <c r="B324" t="s">
        <v>28</v>
      </c>
      <c r="C324" t="s">
        <v>208</v>
      </c>
      <c r="D324" s="3">
        <v>4729.04</v>
      </c>
      <c r="E324" t="s">
        <v>379</v>
      </c>
      <c r="F324" t="s">
        <v>367</v>
      </c>
      <c r="G324" s="6" t="s">
        <v>12</v>
      </c>
      <c r="H324" s="6" t="s">
        <v>28</v>
      </c>
      <c r="I324" s="6" t="s">
        <v>208</v>
      </c>
      <c r="K324" s="6" t="b">
        <v>1</v>
      </c>
      <c r="L324" s="13">
        <f>SUMIFS($D$2:$D324,$E$2:$E324,"2007-2018",$K$2:$K324,TRUE)/auxiliar!$B$3</f>
        <v>0.98827755469520007</v>
      </c>
      <c r="M324" s="13">
        <f>SUMIFS($D$2:$D324,$E$2:$E324,"2019-2024",$K$2:$K324,TRUE)/auxiliar!$B$4</f>
        <v>0.99730910579381926</v>
      </c>
    </row>
    <row r="325" spans="1:13" x14ac:dyDescent="0.25">
      <c r="A325" t="s">
        <v>12</v>
      </c>
      <c r="B325" t="s">
        <v>28</v>
      </c>
      <c r="C325" t="s">
        <v>194</v>
      </c>
      <c r="D325" s="3">
        <v>4718.5</v>
      </c>
      <c r="E325" t="s">
        <v>379</v>
      </c>
      <c r="F325" t="s">
        <v>367</v>
      </c>
      <c r="G325" s="6" t="s">
        <v>12</v>
      </c>
      <c r="H325" s="6" t="s">
        <v>28</v>
      </c>
      <c r="I325" s="6" t="s">
        <v>194</v>
      </c>
      <c r="K325" s="6" t="b">
        <v>1</v>
      </c>
      <c r="L325" s="13">
        <f>SUMIFS($D$2:$D325,$E$2:$E325,"2007-2018",$K$2:$K325,TRUE)/auxiliar!$B$3</f>
        <v>0.98827755469520007</v>
      </c>
      <c r="M325" s="13">
        <f>SUMIFS($D$2:$D325,$E$2:$E325,"2019-2024",$K$2:$K325,TRUE)/auxiliar!$B$4</f>
        <v>0.99745432911984433</v>
      </c>
    </row>
    <row r="326" spans="1:13" x14ac:dyDescent="0.25">
      <c r="A326" t="s">
        <v>12</v>
      </c>
      <c r="B326" t="s">
        <v>33</v>
      </c>
      <c r="C326" t="s">
        <v>200</v>
      </c>
      <c r="D326" s="3">
        <v>4154.76</v>
      </c>
      <c r="E326" t="s">
        <v>379</v>
      </c>
      <c r="F326" t="s">
        <v>367</v>
      </c>
      <c r="G326" s="6" t="s">
        <v>12</v>
      </c>
      <c r="H326" s="6" t="s">
        <v>33</v>
      </c>
      <c r="I326" s="6" t="s">
        <v>200</v>
      </c>
      <c r="K326" s="6" t="b">
        <v>1</v>
      </c>
      <c r="L326" s="13">
        <f>SUMIFS($D$2:$D326,$E$2:$E326,"2007-2018",$K$2:$K326,TRUE)/auxiliar!$B$3</f>
        <v>0.98827755469520007</v>
      </c>
      <c r="M326" s="13">
        <f>SUMIFS($D$2:$D326,$E$2:$E326,"2019-2024",$K$2:$K326,TRUE)/auxiliar!$B$4</f>
        <v>0.99758220197478464</v>
      </c>
    </row>
    <row r="327" spans="1:13" x14ac:dyDescent="0.25">
      <c r="A327" t="s">
        <v>11</v>
      </c>
      <c r="B327" t="s">
        <v>21</v>
      </c>
      <c r="C327" t="s">
        <v>204</v>
      </c>
      <c r="D327" s="3">
        <v>3996.8</v>
      </c>
      <c r="E327" t="s">
        <v>379</v>
      </c>
      <c r="F327" t="s">
        <v>367</v>
      </c>
      <c r="G327" s="6" t="s">
        <v>11</v>
      </c>
      <c r="H327" s="6" t="s">
        <v>21</v>
      </c>
      <c r="I327" s="6" t="s">
        <v>204</v>
      </c>
      <c r="K327" s="6" t="b">
        <v>1</v>
      </c>
      <c r="L327" s="13">
        <f>SUMIFS($D$2:$D327,$E$2:$E327,"2007-2018",$K$2:$K327,TRUE)/auxiliar!$B$3</f>
        <v>0.98827755469520007</v>
      </c>
      <c r="M327" s="13">
        <f>SUMIFS($D$2:$D327,$E$2:$E327,"2019-2024",$K$2:$K327,TRUE)/auxiliar!$B$4</f>
        <v>0.9977052132261266</v>
      </c>
    </row>
    <row r="328" spans="1:13" x14ac:dyDescent="0.25">
      <c r="A328" t="s">
        <v>11</v>
      </c>
      <c r="B328" t="s">
        <v>21</v>
      </c>
      <c r="C328" t="s">
        <v>227</v>
      </c>
      <c r="D328" s="3">
        <v>3560.91</v>
      </c>
      <c r="E328" t="s">
        <v>379</v>
      </c>
      <c r="F328" t="s">
        <v>367</v>
      </c>
      <c r="J328" s="10" t="s">
        <v>368</v>
      </c>
      <c r="K328" s="6" t="b">
        <v>0</v>
      </c>
      <c r="L328" s="13">
        <f>SUMIFS($D$2:$D328,$E$2:$E328,"2007-2018",$K$2:$K328,TRUE)/auxiliar!$B$3</f>
        <v>0.98827755469520007</v>
      </c>
      <c r="M328" s="13">
        <f>SUMIFS($D$2:$D328,$E$2:$E328,"2019-2024",$K$2:$K328,TRUE)/auxiliar!$B$4</f>
        <v>0.9977052132261266</v>
      </c>
    </row>
    <row r="329" spans="1:13" x14ac:dyDescent="0.25">
      <c r="A329" t="s">
        <v>11</v>
      </c>
      <c r="B329" t="s">
        <v>21</v>
      </c>
      <c r="C329" t="s">
        <v>216</v>
      </c>
      <c r="D329" s="3">
        <v>3352.84</v>
      </c>
      <c r="E329" t="s">
        <v>379</v>
      </c>
      <c r="F329" t="s">
        <v>367</v>
      </c>
      <c r="G329" s="6" t="s">
        <v>11</v>
      </c>
      <c r="H329" s="6" t="s">
        <v>21</v>
      </c>
      <c r="I329" s="6" t="s">
        <v>216</v>
      </c>
      <c r="K329" s="6" t="b">
        <v>1</v>
      </c>
      <c r="L329" s="13">
        <f>SUMIFS($D$2:$D329,$E$2:$E329,"2007-2018",$K$2:$K329,TRUE)/auxiliar!$B$3</f>
        <v>0.98827755469520007</v>
      </c>
      <c r="M329" s="13">
        <f>SUMIFS($D$2:$D329,$E$2:$E329,"2019-2024",$K$2:$K329,TRUE)/auxiliar!$B$4</f>
        <v>0.99780840504056545</v>
      </c>
    </row>
    <row r="330" spans="1:13" x14ac:dyDescent="0.25">
      <c r="A330" t="s">
        <v>12</v>
      </c>
      <c r="B330" t="s">
        <v>18</v>
      </c>
      <c r="C330" t="s">
        <v>202</v>
      </c>
      <c r="D330" s="3">
        <v>3220.35</v>
      </c>
      <c r="E330" t="s">
        <v>379</v>
      </c>
      <c r="F330" t="s">
        <v>367</v>
      </c>
      <c r="G330" s="6" t="s">
        <v>12</v>
      </c>
      <c r="H330" s="6" t="s">
        <v>18</v>
      </c>
      <c r="I330" s="6" t="s">
        <v>202</v>
      </c>
      <c r="K330" s="6" t="b">
        <v>1</v>
      </c>
      <c r="L330" s="13">
        <f>SUMIFS($D$2:$D330,$E$2:$E330,"2007-2018",$K$2:$K330,TRUE)/auxiliar!$B$3</f>
        <v>0.98827755469520007</v>
      </c>
      <c r="M330" s="13">
        <f>SUMIFS($D$2:$D330,$E$2:$E330,"2019-2024",$K$2:$K330,TRUE)/auxiliar!$B$4</f>
        <v>0.99790751915266995</v>
      </c>
    </row>
    <row r="331" spans="1:13" x14ac:dyDescent="0.25">
      <c r="A331" t="s">
        <v>12</v>
      </c>
      <c r="B331" t="s">
        <v>28</v>
      </c>
      <c r="C331" t="s">
        <v>210</v>
      </c>
      <c r="D331" s="3">
        <v>3166.82</v>
      </c>
      <c r="E331" t="s">
        <v>379</v>
      </c>
      <c r="F331" t="s">
        <v>367</v>
      </c>
      <c r="G331" s="6" t="s">
        <v>12</v>
      </c>
      <c r="H331" s="6" t="s">
        <v>28</v>
      </c>
      <c r="I331" s="6" t="s">
        <v>210</v>
      </c>
      <c r="K331" s="6" t="b">
        <v>1</v>
      </c>
      <c r="L331" s="13">
        <f>SUMIFS($D$2:$D331,$E$2:$E331,"2007-2018",$K$2:$K331,TRUE)/auxiliar!$B$3</f>
        <v>0.98827755469520007</v>
      </c>
      <c r="M331" s="13">
        <f>SUMIFS($D$2:$D331,$E$2:$E331,"2019-2024",$K$2:$K331,TRUE)/auxiliar!$B$4</f>
        <v>0.99800498574869045</v>
      </c>
    </row>
    <row r="332" spans="1:13" x14ac:dyDescent="0.25">
      <c r="A332" t="s">
        <v>11</v>
      </c>
      <c r="B332" t="s">
        <v>21</v>
      </c>
      <c r="C332" t="s">
        <v>224</v>
      </c>
      <c r="D332" s="3">
        <v>2908.54</v>
      </c>
      <c r="E332" t="s">
        <v>379</v>
      </c>
      <c r="F332" t="s">
        <v>367</v>
      </c>
      <c r="G332" s="6" t="s">
        <v>11</v>
      </c>
      <c r="H332" s="6" t="s">
        <v>21</v>
      </c>
      <c r="I332" s="6" t="s">
        <v>224</v>
      </c>
      <c r="K332" s="6" t="b">
        <v>1</v>
      </c>
      <c r="L332" s="13">
        <f>SUMIFS($D$2:$D332,$E$2:$E332,"2007-2018",$K$2:$K332,TRUE)/auxiliar!$B$3</f>
        <v>0.98827755469520007</v>
      </c>
      <c r="M332" s="13">
        <f>SUMIFS($D$2:$D332,$E$2:$E332,"2019-2024",$K$2:$K332,TRUE)/auxiliar!$B$4</f>
        <v>0.99809450314885506</v>
      </c>
    </row>
    <row r="333" spans="1:13" x14ac:dyDescent="0.25">
      <c r="A333" t="s">
        <v>11</v>
      </c>
      <c r="B333" t="s">
        <v>21</v>
      </c>
      <c r="C333" t="s">
        <v>242</v>
      </c>
      <c r="D333" s="3">
        <v>2851.16</v>
      </c>
      <c r="E333" t="s">
        <v>379</v>
      </c>
      <c r="F333" t="s">
        <v>367</v>
      </c>
      <c r="G333" s="6" t="s">
        <v>11</v>
      </c>
      <c r="H333" s="6" t="s">
        <v>21</v>
      </c>
      <c r="I333" s="6" t="s">
        <v>242</v>
      </c>
      <c r="K333" s="6" t="b">
        <v>1</v>
      </c>
      <c r="L333" s="13">
        <f>SUMIFS($D$2:$D333,$E$2:$E333,"2007-2018",$K$2:$K333,TRUE)/auxiliar!$B$3</f>
        <v>0.98827755469520007</v>
      </c>
      <c r="M333" s="13">
        <f>SUMIFS($D$2:$D333,$E$2:$E333,"2019-2024",$K$2:$K333,TRUE)/auxiliar!$B$4</f>
        <v>0.9981822545398118</v>
      </c>
    </row>
    <row r="334" spans="1:13" x14ac:dyDescent="0.25">
      <c r="A334" t="s">
        <v>11</v>
      </c>
      <c r="B334" t="s">
        <v>21</v>
      </c>
      <c r="C334" t="s">
        <v>232</v>
      </c>
      <c r="D334" s="3">
        <v>2662.84</v>
      </c>
      <c r="E334" t="s">
        <v>379</v>
      </c>
      <c r="F334" t="s">
        <v>367</v>
      </c>
      <c r="G334" s="6" t="s">
        <v>11</v>
      </c>
      <c r="H334" s="6" t="s">
        <v>21</v>
      </c>
      <c r="I334" s="6" t="s">
        <v>232</v>
      </c>
      <c r="K334" s="6" t="b">
        <v>1</v>
      </c>
      <c r="L334" s="13">
        <f>SUMIFS($D$2:$D334,$E$2:$E334,"2007-2018",$K$2:$K334,TRUE)/auxiliar!$B$3</f>
        <v>0.98827755469520007</v>
      </c>
      <c r="M334" s="13">
        <f>SUMIFS($D$2:$D334,$E$2:$E334,"2019-2024",$K$2:$K334,TRUE)/auxiliar!$B$4</f>
        <v>0.99826420992425013</v>
      </c>
    </row>
    <row r="335" spans="1:13" x14ac:dyDescent="0.25">
      <c r="A335" t="s">
        <v>12</v>
      </c>
      <c r="B335" t="s">
        <v>28</v>
      </c>
      <c r="C335" t="s">
        <v>228</v>
      </c>
      <c r="D335" s="3">
        <v>2583.75</v>
      </c>
      <c r="E335" t="s">
        <v>379</v>
      </c>
      <c r="F335" t="s">
        <v>367</v>
      </c>
      <c r="G335" s="6" t="s">
        <v>12</v>
      </c>
      <c r="H335" s="6" t="s">
        <v>28</v>
      </c>
      <c r="I335" s="6" t="s">
        <v>228</v>
      </c>
      <c r="K335" s="6" t="b">
        <v>1</v>
      </c>
      <c r="L335" s="13">
        <f>SUMIFS($D$2:$D335,$E$2:$E335,"2007-2018",$K$2:$K335,TRUE)/auxiliar!$B$3</f>
        <v>0.98827755469520007</v>
      </c>
      <c r="M335" s="13">
        <f>SUMIFS($D$2:$D335,$E$2:$E335,"2019-2024",$K$2:$K335,TRUE)/auxiliar!$B$4</f>
        <v>0.99834373112137154</v>
      </c>
    </row>
    <row r="336" spans="1:13" x14ac:dyDescent="0.25">
      <c r="A336" t="s">
        <v>12</v>
      </c>
      <c r="B336" t="s">
        <v>23</v>
      </c>
      <c r="C336" t="s">
        <v>230</v>
      </c>
      <c r="D336" s="3">
        <v>2516.5</v>
      </c>
      <c r="E336" t="s">
        <v>379</v>
      </c>
      <c r="F336" t="s">
        <v>367</v>
      </c>
      <c r="G336" s="6" t="s">
        <v>12</v>
      </c>
      <c r="H336" s="6" t="s">
        <v>23</v>
      </c>
      <c r="I336" s="6" t="s">
        <v>230</v>
      </c>
      <c r="K336" s="6" t="b">
        <v>1</v>
      </c>
      <c r="L336" s="13">
        <f>SUMIFS($D$2:$D336,$E$2:$E336,"2007-2018",$K$2:$K336,TRUE)/auxiliar!$B$3</f>
        <v>0.98827755469520007</v>
      </c>
      <c r="M336" s="13">
        <f>SUMIFS($D$2:$D336,$E$2:$E336,"2019-2024",$K$2:$K336,TRUE)/auxiliar!$B$4</f>
        <v>0.99842118253600376</v>
      </c>
    </row>
    <row r="337" spans="1:13" x14ac:dyDescent="0.25">
      <c r="A337" t="s">
        <v>11</v>
      </c>
      <c r="B337" t="s">
        <v>33</v>
      </c>
      <c r="C337" t="s">
        <v>211</v>
      </c>
      <c r="D337" s="3">
        <v>2484.6999999999998</v>
      </c>
      <c r="E337" t="s">
        <v>379</v>
      </c>
      <c r="F337" t="s">
        <v>367</v>
      </c>
      <c r="G337" s="6" t="s">
        <v>11</v>
      </c>
      <c r="H337" s="6" t="s">
        <v>33</v>
      </c>
      <c r="I337" s="6" t="s">
        <v>211</v>
      </c>
      <c r="K337" s="6" t="b">
        <v>1</v>
      </c>
      <c r="L337" s="13">
        <f>SUMIFS($D$2:$D337,$E$2:$E337,"2007-2018",$K$2:$K337,TRUE)/auxiliar!$B$3</f>
        <v>0.98827755469520007</v>
      </c>
      <c r="M337" s="13">
        <f>SUMIFS($D$2:$D337,$E$2:$E337,"2019-2024",$K$2:$K337,TRUE)/auxiliar!$B$4</f>
        <v>0.99849765522820977</v>
      </c>
    </row>
    <row r="338" spans="1:13" x14ac:dyDescent="0.25">
      <c r="A338" t="s">
        <v>12</v>
      </c>
      <c r="B338" t="s">
        <v>28</v>
      </c>
      <c r="C338" t="s">
        <v>219</v>
      </c>
      <c r="D338" s="3">
        <v>2391.0700000000002</v>
      </c>
      <c r="E338" t="s">
        <v>379</v>
      </c>
      <c r="F338" t="s">
        <v>367</v>
      </c>
      <c r="G338" s="6" t="s">
        <v>12</v>
      </c>
      <c r="H338" s="6" t="s">
        <v>28</v>
      </c>
      <c r="I338" s="6" t="s">
        <v>219</v>
      </c>
      <c r="K338" s="6" t="b">
        <v>1</v>
      </c>
      <c r="L338" s="13">
        <f>SUMIFS($D$2:$D338,$E$2:$E338,"2007-2018",$K$2:$K338,TRUE)/auxiliar!$B$3</f>
        <v>0.98827755469520007</v>
      </c>
      <c r="M338" s="13">
        <f>SUMIFS($D$2:$D338,$E$2:$E338,"2019-2024",$K$2:$K338,TRUE)/auxiliar!$B$4</f>
        <v>0.99857124622919713</v>
      </c>
    </row>
    <row r="339" spans="1:13" x14ac:dyDescent="0.25">
      <c r="A339" t="s">
        <v>11</v>
      </c>
      <c r="B339" t="s">
        <v>21</v>
      </c>
      <c r="C339" t="s">
        <v>229</v>
      </c>
      <c r="D339" s="3">
        <v>2388.1</v>
      </c>
      <c r="E339" t="s">
        <v>379</v>
      </c>
      <c r="F339" t="s">
        <v>367</v>
      </c>
      <c r="G339" s="6" t="s">
        <v>11</v>
      </c>
      <c r="H339" s="6" t="s">
        <v>21</v>
      </c>
      <c r="I339" s="6" t="s">
        <v>229</v>
      </c>
      <c r="K339" s="6" t="b">
        <v>1</v>
      </c>
      <c r="L339" s="13">
        <f>SUMIFS($D$2:$D339,$E$2:$E339,"2007-2018",$K$2:$K339,TRUE)/auxiliar!$B$3</f>
        <v>0.98827755469520007</v>
      </c>
      <c r="M339" s="13">
        <f>SUMIFS($D$2:$D339,$E$2:$E339,"2019-2024",$K$2:$K339,TRUE)/auxiliar!$B$4</f>
        <v>0.99864474582120322</v>
      </c>
    </row>
    <row r="340" spans="1:13" x14ac:dyDescent="0.25">
      <c r="A340" t="s">
        <v>11</v>
      </c>
      <c r="B340" t="s">
        <v>21</v>
      </c>
      <c r="C340" t="s">
        <v>405</v>
      </c>
      <c r="D340" s="3">
        <v>2344.8000000000002</v>
      </c>
      <c r="E340" t="s">
        <v>379</v>
      </c>
      <c r="F340" t="s">
        <v>367</v>
      </c>
      <c r="G340" s="6" t="s">
        <v>11</v>
      </c>
      <c r="H340" s="6" t="s">
        <v>21</v>
      </c>
      <c r="I340" s="6" t="s">
        <v>405</v>
      </c>
      <c r="J340" s="10"/>
      <c r="K340" s="6" t="b">
        <v>1</v>
      </c>
      <c r="L340" s="13">
        <f>SUMIFS($D$2:$D340,$E$2:$E340,"2007-2018",$K$2:$K340,TRUE)/auxiliar!$B$3</f>
        <v>0.98827755469520007</v>
      </c>
      <c r="M340" s="13">
        <f>SUMIFS($D$2:$D340,$E$2:$E340,"2019-2024",$K$2:$K340,TRUE)/auxiliar!$B$4</f>
        <v>0.99871691275028307</v>
      </c>
    </row>
    <row r="341" spans="1:13" x14ac:dyDescent="0.25">
      <c r="A341" t="s">
        <v>12</v>
      </c>
      <c r="B341" t="s">
        <v>28</v>
      </c>
      <c r="C341" t="s">
        <v>258</v>
      </c>
      <c r="D341" s="3">
        <v>2298.75</v>
      </c>
      <c r="E341" t="s">
        <v>379</v>
      </c>
      <c r="F341" t="s">
        <v>367</v>
      </c>
      <c r="G341" s="6" t="s">
        <v>12</v>
      </c>
      <c r="H341" s="6" t="s">
        <v>28</v>
      </c>
      <c r="I341" s="6" t="s">
        <v>258</v>
      </c>
      <c r="J341" s="10"/>
      <c r="K341" s="6" t="b">
        <v>1</v>
      </c>
      <c r="L341" s="13">
        <f>SUMIFS($D$2:$D341,$E$2:$E341,"2007-2018",$K$2:$K341,TRUE)/auxiliar!$B$3</f>
        <v>0.98827755469520007</v>
      </c>
      <c r="M341" s="13">
        <f>SUMIFS($D$2:$D341,$E$2:$E341,"2019-2024",$K$2:$K341,TRUE)/auxiliar!$B$4</f>
        <v>0.99878766237849126</v>
      </c>
    </row>
    <row r="342" spans="1:13" x14ac:dyDescent="0.25">
      <c r="A342" t="s">
        <v>11</v>
      </c>
      <c r="B342" t="s">
        <v>33</v>
      </c>
      <c r="C342" t="s">
        <v>220</v>
      </c>
      <c r="D342" s="3">
        <v>2111</v>
      </c>
      <c r="E342" t="s">
        <v>379</v>
      </c>
      <c r="F342" t="s">
        <v>367</v>
      </c>
      <c r="G342" s="6" t="s">
        <v>11</v>
      </c>
      <c r="H342" s="6" t="s">
        <v>33</v>
      </c>
      <c r="I342" s="6" t="s">
        <v>220</v>
      </c>
      <c r="K342" s="6" t="b">
        <v>1</v>
      </c>
      <c r="L342" s="13">
        <f>SUMIFS($D$2:$D342,$E$2:$E342,"2007-2018",$K$2:$K342,TRUE)/auxiliar!$B$3</f>
        <v>0.98827755469520007</v>
      </c>
      <c r="M342" s="13">
        <f>SUMIFS($D$2:$D342,$E$2:$E342,"2019-2024",$K$2:$K342,TRUE)/auxiliar!$B$4</f>
        <v>0.99885263354331877</v>
      </c>
    </row>
    <row r="343" spans="1:13" x14ac:dyDescent="0.25">
      <c r="A343" t="s">
        <v>11</v>
      </c>
      <c r="B343" t="s">
        <v>21</v>
      </c>
      <c r="C343" t="s">
        <v>239</v>
      </c>
      <c r="D343" s="3">
        <v>2092.25</v>
      </c>
      <c r="E343" t="s">
        <v>379</v>
      </c>
      <c r="F343" t="s">
        <v>367</v>
      </c>
      <c r="G343" s="6" t="s">
        <v>11</v>
      </c>
      <c r="H343" s="6" t="s">
        <v>21</v>
      </c>
      <c r="I343" s="6" t="s">
        <v>239</v>
      </c>
      <c r="K343" s="6" t="b">
        <v>1</v>
      </c>
      <c r="L343" s="13">
        <f>SUMIFS($D$2:$D343,$E$2:$E343,"2007-2018",$K$2:$K343,TRUE)/auxiliar!$B$3</f>
        <v>0.98827755469520007</v>
      </c>
      <c r="M343" s="13">
        <f>SUMIFS($D$2:$D343,$E$2:$E343,"2019-2024",$K$2:$K343,TRUE)/auxiliar!$B$4</f>
        <v>0.99891702763124413</v>
      </c>
    </row>
    <row r="344" spans="1:13" x14ac:dyDescent="0.25">
      <c r="A344" t="s">
        <v>12</v>
      </c>
      <c r="B344" t="s">
        <v>28</v>
      </c>
      <c r="C344" t="s">
        <v>236</v>
      </c>
      <c r="D344" s="3">
        <v>2083.23</v>
      </c>
      <c r="E344" t="s">
        <v>379</v>
      </c>
      <c r="F344" t="s">
        <v>367</v>
      </c>
      <c r="G344" s="6" t="s">
        <v>12</v>
      </c>
      <c r="H344" s="6" t="s">
        <v>28</v>
      </c>
      <c r="I344" s="6" t="s">
        <v>236</v>
      </c>
      <c r="K344" s="6" t="b">
        <v>1</v>
      </c>
      <c r="L344" s="13">
        <f>SUMIFS($D$2:$D344,$E$2:$E344,"2007-2018",$K$2:$K344,TRUE)/auxiliar!$B$3</f>
        <v>0.98827755469520007</v>
      </c>
      <c r="M344" s="13">
        <f>SUMIFS($D$2:$D344,$E$2:$E344,"2019-2024",$K$2:$K344,TRUE)/auxiliar!$B$4</f>
        <v>0.9989811441067078</v>
      </c>
    </row>
    <row r="345" spans="1:13" x14ac:dyDescent="0.25">
      <c r="A345" t="s">
        <v>11</v>
      </c>
      <c r="B345" t="s">
        <v>21</v>
      </c>
      <c r="C345" t="s">
        <v>255</v>
      </c>
      <c r="D345" s="3">
        <v>1883.36</v>
      </c>
      <c r="E345" t="s">
        <v>379</v>
      </c>
      <c r="F345" t="s">
        <v>367</v>
      </c>
      <c r="G345" s="6" t="s">
        <v>11</v>
      </c>
      <c r="H345" s="6" t="s">
        <v>21</v>
      </c>
      <c r="I345" s="6" t="s">
        <v>255</v>
      </c>
      <c r="K345" s="6" t="b">
        <v>1</v>
      </c>
      <c r="L345" s="13">
        <f>SUMIFS($D$2:$D345,$E$2:$E345,"2007-2018",$K$2:$K345,TRUE)/auxiliar!$B$3</f>
        <v>0.98827755469520007</v>
      </c>
      <c r="M345" s="13">
        <f>SUMIFS($D$2:$D345,$E$2:$E345,"2019-2024",$K$2:$K345,TRUE)/auxiliar!$B$4</f>
        <v>0.99903910909628124</v>
      </c>
    </row>
    <row r="346" spans="1:13" x14ac:dyDescent="0.25">
      <c r="A346" t="s">
        <v>11</v>
      </c>
      <c r="B346" t="s">
        <v>21</v>
      </c>
      <c r="C346" t="s">
        <v>246</v>
      </c>
      <c r="D346" s="3">
        <v>1846.46</v>
      </c>
      <c r="E346" t="s">
        <v>379</v>
      </c>
      <c r="F346" t="s">
        <v>367</v>
      </c>
      <c r="G346" s="6" t="s">
        <v>11</v>
      </c>
      <c r="H346" s="6" t="s">
        <v>21</v>
      </c>
      <c r="I346" s="6" t="s">
        <v>246</v>
      </c>
      <c r="K346" s="6" t="b">
        <v>1</v>
      </c>
      <c r="L346" s="13">
        <f>SUMIFS($D$2:$D346,$E$2:$E346,"2007-2018",$K$2:$K346,TRUE)/auxiliar!$B$3</f>
        <v>0.98827755469520007</v>
      </c>
      <c r="M346" s="13">
        <f>SUMIFS($D$2:$D346,$E$2:$E346,"2019-2024",$K$2:$K346,TRUE)/auxiliar!$B$4</f>
        <v>0.9990959383985113</v>
      </c>
    </row>
    <row r="347" spans="1:13" x14ac:dyDescent="0.25">
      <c r="A347" t="s">
        <v>11</v>
      </c>
      <c r="B347" t="s">
        <v>21</v>
      </c>
      <c r="C347" t="s">
        <v>233</v>
      </c>
      <c r="D347" s="3">
        <v>1821.1</v>
      </c>
      <c r="E347" t="s">
        <v>379</v>
      </c>
      <c r="F347" t="s">
        <v>367</v>
      </c>
      <c r="G347" s="6" t="s">
        <v>11</v>
      </c>
      <c r="H347" s="6" t="s">
        <v>21</v>
      </c>
      <c r="I347" s="6" t="s">
        <v>233</v>
      </c>
      <c r="K347" s="6" t="b">
        <v>1</v>
      </c>
      <c r="L347" s="13">
        <f>SUMIFS($D$2:$D347,$E$2:$E347,"2007-2018",$K$2:$K347,TRUE)/auxiliar!$B$3</f>
        <v>0.98827755469520007</v>
      </c>
      <c r="M347" s="13">
        <f>SUMIFS($D$2:$D347,$E$2:$E347,"2019-2024",$K$2:$K347,TRUE)/auxiliar!$B$4</f>
        <v>0.99915198718499521</v>
      </c>
    </row>
    <row r="348" spans="1:13" x14ac:dyDescent="0.25">
      <c r="A348" t="s">
        <v>11</v>
      </c>
      <c r="B348" t="s">
        <v>16</v>
      </c>
      <c r="C348" t="s">
        <v>243</v>
      </c>
      <c r="D348" s="3">
        <v>1705.5</v>
      </c>
      <c r="E348" t="s">
        <v>379</v>
      </c>
      <c r="F348" t="s">
        <v>367</v>
      </c>
      <c r="G348" s="6" t="s">
        <v>11</v>
      </c>
      <c r="H348" s="6" t="s">
        <v>16</v>
      </c>
      <c r="I348" s="6" t="s">
        <v>243</v>
      </c>
      <c r="K348" s="6" t="b">
        <v>1</v>
      </c>
      <c r="L348" s="13">
        <f>SUMIFS($D$2:$D348,$E$2:$E348,"2007-2018",$K$2:$K348,TRUE)/auxiliar!$B$3</f>
        <v>0.98827755469520007</v>
      </c>
      <c r="M348" s="13">
        <f>SUMIFS($D$2:$D348,$E$2:$E348,"2019-2024",$K$2:$K348,TRUE)/auxiliar!$B$4</f>
        <v>0.99920447810001811</v>
      </c>
    </row>
    <row r="349" spans="1:13" x14ac:dyDescent="0.25">
      <c r="A349" t="s">
        <v>11</v>
      </c>
      <c r="B349" t="s">
        <v>21</v>
      </c>
      <c r="C349" t="s">
        <v>250</v>
      </c>
      <c r="D349" s="3">
        <v>1511.6</v>
      </c>
      <c r="E349" t="s">
        <v>379</v>
      </c>
      <c r="F349" t="s">
        <v>367</v>
      </c>
      <c r="G349" s="6" t="s">
        <v>11</v>
      </c>
      <c r="H349" s="6" t="s">
        <v>21</v>
      </c>
      <c r="I349" s="6" t="s">
        <v>250</v>
      </c>
      <c r="K349" s="6" t="b">
        <v>1</v>
      </c>
      <c r="L349" s="13">
        <f>SUMIFS($D$2:$D349,$E$2:$E349,"2007-2018",$K$2:$K349,TRUE)/auxiliar!$B$3</f>
        <v>0.98827755469520007</v>
      </c>
      <c r="M349" s="13">
        <f>SUMIFS($D$2:$D349,$E$2:$E349,"2019-2024",$K$2:$K349,TRUE)/auxiliar!$B$4</f>
        <v>0.99925100127043665</v>
      </c>
    </row>
    <row r="350" spans="1:13" x14ac:dyDescent="0.25">
      <c r="A350" t="s">
        <v>11</v>
      </c>
      <c r="B350" t="s">
        <v>21</v>
      </c>
      <c r="C350" t="s">
        <v>261</v>
      </c>
      <c r="D350" s="3">
        <v>1368.29</v>
      </c>
      <c r="E350" t="s">
        <v>379</v>
      </c>
      <c r="F350" t="s">
        <v>367</v>
      </c>
      <c r="G350" s="6" t="s">
        <v>11</v>
      </c>
      <c r="H350" s="6" t="s">
        <v>21</v>
      </c>
      <c r="I350" s="6" t="s">
        <v>261</v>
      </c>
      <c r="K350" s="6" t="b">
        <v>1</v>
      </c>
      <c r="L350" s="13">
        <f>SUMIFS($D$2:$D350,$E$2:$E350,"2007-2018",$K$2:$K350,TRUE)/auxiliar!$B$3</f>
        <v>0.98827755469520007</v>
      </c>
      <c r="M350" s="13">
        <f>SUMIFS($D$2:$D350,$E$2:$E350,"2019-2024",$K$2:$K350,TRUE)/auxiliar!$B$4</f>
        <v>0.99929311372667629</v>
      </c>
    </row>
    <row r="351" spans="1:13" x14ac:dyDescent="0.25">
      <c r="A351" t="s">
        <v>11</v>
      </c>
      <c r="B351" t="s">
        <v>21</v>
      </c>
      <c r="C351" t="s">
        <v>254</v>
      </c>
      <c r="D351" s="3">
        <v>1359.94</v>
      </c>
      <c r="E351" t="s">
        <v>379</v>
      </c>
      <c r="F351" t="s">
        <v>367</v>
      </c>
      <c r="G351" s="6" t="s">
        <v>11</v>
      </c>
      <c r="H351" s="6" t="s">
        <v>21</v>
      </c>
      <c r="I351" s="6" t="s">
        <v>254</v>
      </c>
      <c r="K351" s="6" t="b">
        <v>1</v>
      </c>
      <c r="L351" s="13">
        <f>SUMIFS($D$2:$D351,$E$2:$E351,"2007-2018",$K$2:$K351,TRUE)/auxiliar!$B$3</f>
        <v>0.98827755469520007</v>
      </c>
      <c r="M351" s="13">
        <f>SUMIFS($D$2:$D351,$E$2:$E351,"2019-2024",$K$2:$K351,TRUE)/auxiliar!$B$4</f>
        <v>0.99933496919133546</v>
      </c>
    </row>
    <row r="352" spans="1:13" x14ac:dyDescent="0.25">
      <c r="A352" t="s">
        <v>12</v>
      </c>
      <c r="B352" t="s">
        <v>28</v>
      </c>
      <c r="C352" t="s">
        <v>248</v>
      </c>
      <c r="D352" s="3">
        <v>1334.71</v>
      </c>
      <c r="E352" t="s">
        <v>379</v>
      </c>
      <c r="F352" t="s">
        <v>367</v>
      </c>
      <c r="G352" s="6" t="s">
        <v>12</v>
      </c>
      <c r="H352" s="6" t="s">
        <v>28</v>
      </c>
      <c r="I352" s="6" t="s">
        <v>248</v>
      </c>
      <c r="K352" s="6" t="b">
        <v>1</v>
      </c>
      <c r="L352" s="13">
        <f>SUMIFS($D$2:$D352,$E$2:$E352,"2007-2018",$K$2:$K352,TRUE)/auxiliar!$B$3</f>
        <v>0.98827755469520007</v>
      </c>
      <c r="M352" s="13">
        <f>SUMIFS($D$2:$D352,$E$2:$E352,"2019-2024",$K$2:$K352,TRUE)/auxiliar!$B$4</f>
        <v>0.9993760481413152</v>
      </c>
    </row>
    <row r="353" spans="1:13" x14ac:dyDescent="0.25">
      <c r="A353" t="s">
        <v>12</v>
      </c>
      <c r="B353" t="s">
        <v>18</v>
      </c>
      <c r="C353" t="s">
        <v>420</v>
      </c>
      <c r="D353" s="3">
        <v>1277.7</v>
      </c>
      <c r="E353" t="s">
        <v>379</v>
      </c>
      <c r="F353" t="s">
        <v>367</v>
      </c>
      <c r="J353" s="10" t="s">
        <v>368</v>
      </c>
      <c r="K353" s="6" t="b">
        <v>0</v>
      </c>
      <c r="L353" s="13">
        <f>SUMIFS($D$2:$D353,$E$2:$E353,"2007-2018",$K$2:$K353,TRUE)/auxiliar!$B$3</f>
        <v>0.98827755469520007</v>
      </c>
      <c r="M353" s="13">
        <f>SUMIFS($D$2:$D353,$E$2:$E353,"2019-2024",$K$2:$K353,TRUE)/auxiliar!$B$4</f>
        <v>0.9993760481413152</v>
      </c>
    </row>
    <row r="354" spans="1:13" x14ac:dyDescent="0.25">
      <c r="A354" t="s">
        <v>11</v>
      </c>
      <c r="B354" t="s">
        <v>33</v>
      </c>
      <c r="C354" t="s">
        <v>263</v>
      </c>
      <c r="D354" s="3">
        <v>1113.7</v>
      </c>
      <c r="E354" t="s">
        <v>379</v>
      </c>
      <c r="F354" t="s">
        <v>367</v>
      </c>
      <c r="G354" s="6" t="s">
        <v>11</v>
      </c>
      <c r="H354" s="6" t="s">
        <v>33</v>
      </c>
      <c r="I354" s="6" t="s">
        <v>263</v>
      </c>
      <c r="K354" s="6" t="b">
        <v>1</v>
      </c>
      <c r="L354" s="13">
        <f>SUMIFS($D$2:$D354,$E$2:$E354,"2007-2018",$K$2:$K354,TRUE)/auxiliar!$B$3</f>
        <v>0.98827755469520007</v>
      </c>
      <c r="M354" s="13">
        <f>SUMIFS($D$2:$D354,$E$2:$E354,"2019-2024",$K$2:$K354,TRUE)/auxiliar!$B$4</f>
        <v>0.99941032497043336</v>
      </c>
    </row>
    <row r="355" spans="1:13" x14ac:dyDescent="0.25">
      <c r="A355" t="s">
        <v>11</v>
      </c>
      <c r="B355" t="s">
        <v>28</v>
      </c>
      <c r="C355" t="s">
        <v>256</v>
      </c>
      <c r="D355" s="3">
        <v>1084</v>
      </c>
      <c r="E355" t="s">
        <v>379</v>
      </c>
      <c r="F355" t="s">
        <v>367</v>
      </c>
      <c r="G355" s="6" t="s">
        <v>11</v>
      </c>
      <c r="H355" s="6" t="s">
        <v>28</v>
      </c>
      <c r="I355" s="6" t="s">
        <v>256</v>
      </c>
      <c r="K355" s="6" t="b">
        <v>1</v>
      </c>
      <c r="L355" s="13">
        <f>SUMIFS($D$2:$D355,$E$2:$E355,"2007-2018",$K$2:$K355,TRUE)/auxiliar!$B$3</f>
        <v>0.98827755469520007</v>
      </c>
      <c r="M355" s="13">
        <f>SUMIFS($D$2:$D355,$E$2:$E355,"2019-2024",$K$2:$K355,TRUE)/auxiliar!$B$4</f>
        <v>0.99944368770973846</v>
      </c>
    </row>
    <row r="356" spans="1:13" x14ac:dyDescent="0.25">
      <c r="A356" t="s">
        <v>11</v>
      </c>
      <c r="B356" t="s">
        <v>21</v>
      </c>
      <c r="C356" t="s">
        <v>277</v>
      </c>
      <c r="D356" s="3">
        <v>1074.0999999999999</v>
      </c>
      <c r="E356" t="s">
        <v>379</v>
      </c>
      <c r="F356" t="s">
        <v>367</v>
      </c>
      <c r="G356" s="6" t="s">
        <v>11</v>
      </c>
      <c r="H356" s="6" t="s">
        <v>21</v>
      </c>
      <c r="I356" s="6" t="s">
        <v>277</v>
      </c>
      <c r="K356" s="6" t="b">
        <v>1</v>
      </c>
      <c r="L356" s="13">
        <f>SUMIFS($D$2:$D356,$E$2:$E356,"2007-2018",$K$2:$K356,TRUE)/auxiliar!$B$3</f>
        <v>0.98827755469520007</v>
      </c>
      <c r="M356" s="13">
        <f>SUMIFS($D$2:$D356,$E$2:$E356,"2019-2024",$K$2:$K356,TRUE)/auxiliar!$B$4</f>
        <v>0.99947674575243917</v>
      </c>
    </row>
    <row r="357" spans="1:13" x14ac:dyDescent="0.25">
      <c r="A357" t="s">
        <v>12</v>
      </c>
      <c r="B357" t="s">
        <v>33</v>
      </c>
      <c r="C357" t="s">
        <v>264</v>
      </c>
      <c r="D357" s="3">
        <v>946.8</v>
      </c>
      <c r="E357" t="s">
        <v>379</v>
      </c>
      <c r="F357" t="s">
        <v>367</v>
      </c>
      <c r="G357" s="6" t="s">
        <v>12</v>
      </c>
      <c r="H357" s="6" t="s">
        <v>33</v>
      </c>
      <c r="I357" s="6" t="s">
        <v>264</v>
      </c>
      <c r="K357" s="6" t="b">
        <v>1</v>
      </c>
      <c r="L357" s="13">
        <f>SUMIFS($D$2:$D357,$E$2:$E357,"2007-2018",$K$2:$K357,TRUE)/auxiliar!$B$3</f>
        <v>0.98827755469520007</v>
      </c>
      <c r="M357" s="13">
        <f>SUMIFS($D$2:$D357,$E$2:$E357,"2019-2024",$K$2:$K357,TRUE)/auxiliar!$B$4</f>
        <v>0.99950588582769206</v>
      </c>
    </row>
    <row r="358" spans="1:13" x14ac:dyDescent="0.25">
      <c r="A358" t="s">
        <v>11</v>
      </c>
      <c r="B358" t="s">
        <v>33</v>
      </c>
      <c r="C358" t="s">
        <v>272</v>
      </c>
      <c r="D358" s="3">
        <v>941</v>
      </c>
      <c r="E358" t="s">
        <v>379</v>
      </c>
      <c r="F358" t="s">
        <v>367</v>
      </c>
      <c r="J358" s="10" t="s">
        <v>368</v>
      </c>
      <c r="K358" s="6" t="b">
        <v>0</v>
      </c>
      <c r="L358" s="13">
        <f>SUMIFS($D$2:$D358,$E$2:$E358,"2007-2018",$K$2:$K358,TRUE)/auxiliar!$B$3</f>
        <v>0.98827755469520007</v>
      </c>
      <c r="M358" s="13">
        <f>SUMIFS($D$2:$D358,$E$2:$E358,"2019-2024",$K$2:$K358,TRUE)/auxiliar!$B$4</f>
        <v>0.99950588582769206</v>
      </c>
    </row>
    <row r="359" spans="1:13" x14ac:dyDescent="0.25">
      <c r="A359" t="s">
        <v>11</v>
      </c>
      <c r="B359" t="s">
        <v>33</v>
      </c>
      <c r="C359" t="s">
        <v>262</v>
      </c>
      <c r="D359" s="3">
        <v>852</v>
      </c>
      <c r="E359" t="s">
        <v>379</v>
      </c>
      <c r="F359" t="s">
        <v>367</v>
      </c>
      <c r="G359" s="6" t="s">
        <v>11</v>
      </c>
      <c r="H359" s="6" t="s">
        <v>33</v>
      </c>
      <c r="I359" s="6" t="s">
        <v>262</v>
      </c>
      <c r="K359" s="6" t="b">
        <v>1</v>
      </c>
      <c r="L359" s="13">
        <f>SUMIFS($D$2:$D359,$E$2:$E359,"2007-2018",$K$2:$K359,TRUE)/auxiliar!$B$3</f>
        <v>0.98827755469520007</v>
      </c>
      <c r="M359" s="13">
        <f>SUMIFS($D$2:$D359,$E$2:$E359,"2019-2024",$K$2:$K359,TRUE)/auxiliar!$B$4</f>
        <v>0.99953210820212746</v>
      </c>
    </row>
    <row r="360" spans="1:13" x14ac:dyDescent="0.25">
      <c r="A360" t="s">
        <v>11</v>
      </c>
      <c r="B360" t="s">
        <v>33</v>
      </c>
      <c r="C360" t="s">
        <v>303</v>
      </c>
      <c r="D360" s="3">
        <v>723.3</v>
      </c>
      <c r="E360" t="s">
        <v>379</v>
      </c>
      <c r="F360" t="s">
        <v>367</v>
      </c>
      <c r="G360" s="6" t="s">
        <v>11</v>
      </c>
      <c r="H360" s="6" t="s">
        <v>33</v>
      </c>
      <c r="I360" s="6" t="s">
        <v>303</v>
      </c>
      <c r="K360" s="6" t="b">
        <v>1</v>
      </c>
      <c r="L360" s="13">
        <f>SUMIFS($D$2:$D360,$E$2:$E360,"2007-2018",$K$2:$K360,TRUE)/auxiliar!$B$3</f>
        <v>0.98827755469520007</v>
      </c>
      <c r="M360" s="13">
        <f>SUMIFS($D$2:$D360,$E$2:$E360,"2019-2024",$K$2:$K360,TRUE)/auxiliar!$B$4</f>
        <v>0.9995543695207062</v>
      </c>
    </row>
    <row r="361" spans="1:13" x14ac:dyDescent="0.25">
      <c r="A361" t="s">
        <v>11</v>
      </c>
      <c r="B361" t="s">
        <v>21</v>
      </c>
      <c r="C361" t="s">
        <v>270</v>
      </c>
      <c r="D361" s="3">
        <v>687.1</v>
      </c>
      <c r="E361" t="s">
        <v>379</v>
      </c>
      <c r="F361" t="s">
        <v>367</v>
      </c>
      <c r="G361" s="6" t="s">
        <v>11</v>
      </c>
      <c r="H361" s="6" t="s">
        <v>21</v>
      </c>
      <c r="I361" s="6" t="s">
        <v>270</v>
      </c>
      <c r="K361" s="6" t="b">
        <v>1</v>
      </c>
      <c r="L361" s="13">
        <f>SUMIFS($D$2:$D361,$E$2:$E361,"2007-2018",$K$2:$K361,TRUE)/auxiliar!$B$3</f>
        <v>0.98827755469520007</v>
      </c>
      <c r="M361" s="13">
        <f>SUMIFS($D$2:$D361,$E$2:$E361,"2019-2024",$K$2:$K361,TRUE)/auxiliar!$B$4</f>
        <v>0.99957551669614586</v>
      </c>
    </row>
    <row r="362" spans="1:13" x14ac:dyDescent="0.25">
      <c r="A362" t="s">
        <v>12</v>
      </c>
      <c r="B362" t="s">
        <v>28</v>
      </c>
      <c r="C362" t="s">
        <v>276</v>
      </c>
      <c r="D362" s="3">
        <v>638</v>
      </c>
      <c r="E362" t="s">
        <v>379</v>
      </c>
      <c r="F362" t="s">
        <v>367</v>
      </c>
      <c r="G362" s="6" t="s">
        <v>12</v>
      </c>
      <c r="H362" s="6" t="s">
        <v>28</v>
      </c>
      <c r="I362" s="6" t="s">
        <v>276</v>
      </c>
      <c r="K362" s="6" t="b">
        <v>1</v>
      </c>
      <c r="L362" s="13">
        <f>SUMIFS($D$2:$D362,$E$2:$E362,"2007-2018",$K$2:$K362,TRUE)/auxiliar!$B$3</f>
        <v>0.98827755469520007</v>
      </c>
      <c r="M362" s="13">
        <f>SUMIFS($D$2:$D362,$E$2:$E362,"2019-2024",$K$2:$K362,TRUE)/auxiliar!$B$4</f>
        <v>0.99959515269953769</v>
      </c>
    </row>
    <row r="363" spans="1:13" x14ac:dyDescent="0.25">
      <c r="A363" t="s">
        <v>11</v>
      </c>
      <c r="B363" t="s">
        <v>21</v>
      </c>
      <c r="C363" t="s">
        <v>319</v>
      </c>
      <c r="D363" s="3">
        <v>627.44000000000005</v>
      </c>
      <c r="E363" t="s">
        <v>379</v>
      </c>
      <c r="F363" t="s">
        <v>367</v>
      </c>
      <c r="G363" s="6" t="s">
        <v>11</v>
      </c>
      <c r="H363" s="6" t="s">
        <v>21</v>
      </c>
      <c r="I363" s="6" t="s">
        <v>319</v>
      </c>
      <c r="K363" s="6" t="b">
        <v>1</v>
      </c>
      <c r="L363" s="13">
        <f>SUMIFS($D$2:$D363,$E$2:$E363,"2007-2018",$K$2:$K363,TRUE)/auxiliar!$B$3</f>
        <v>0.98827755469520007</v>
      </c>
      <c r="M363" s="13">
        <f>SUMIFS($D$2:$D363,$E$2:$E363,"2019-2024",$K$2:$K363,TRUE)/auxiliar!$B$4</f>
        <v>0.99961446369321816</v>
      </c>
    </row>
    <row r="364" spans="1:13" x14ac:dyDescent="0.25">
      <c r="A364" t="s">
        <v>11</v>
      </c>
      <c r="B364" t="s">
        <v>21</v>
      </c>
      <c r="C364" t="s">
        <v>301</v>
      </c>
      <c r="D364" s="3">
        <v>508.9</v>
      </c>
      <c r="E364" t="s">
        <v>379</v>
      </c>
      <c r="F364" t="s">
        <v>367</v>
      </c>
      <c r="G364" s="6" t="s">
        <v>11</v>
      </c>
      <c r="H364" s="6" t="s">
        <v>21</v>
      </c>
      <c r="I364" s="6" t="s">
        <v>301</v>
      </c>
      <c r="K364" s="6" t="b">
        <v>1</v>
      </c>
      <c r="L364" s="13">
        <f>SUMIFS($D$2:$D364,$E$2:$E364,"2007-2018",$K$2:$K364,TRUE)/auxiliar!$B$3</f>
        <v>0.98827755469520007</v>
      </c>
      <c r="M364" s="13">
        <f>SUMIFS($D$2:$D364,$E$2:$E364,"2019-2024",$K$2:$K364,TRUE)/auxiliar!$B$4</f>
        <v>0.99963012632977932</v>
      </c>
    </row>
    <row r="365" spans="1:13" x14ac:dyDescent="0.25">
      <c r="A365" t="s">
        <v>11</v>
      </c>
      <c r="B365" t="s">
        <v>33</v>
      </c>
      <c r="C365" t="s">
        <v>287</v>
      </c>
      <c r="D365" s="3">
        <v>502.8</v>
      </c>
      <c r="E365" t="s">
        <v>379</v>
      </c>
      <c r="F365" t="s">
        <v>367</v>
      </c>
      <c r="G365" s="6" t="s">
        <v>11</v>
      </c>
      <c r="H365" s="6" t="s">
        <v>33</v>
      </c>
      <c r="I365" s="6" t="s">
        <v>287</v>
      </c>
      <c r="K365" s="6" t="b">
        <v>1</v>
      </c>
      <c r="L365" s="13">
        <f>SUMIFS($D$2:$D365,$E$2:$E365,"2007-2018",$K$2:$K365,TRUE)/auxiliar!$B$3</f>
        <v>0.98827755469520007</v>
      </c>
      <c r="M365" s="13">
        <f>SUMIFS($D$2:$D365,$E$2:$E365,"2019-2024",$K$2:$K365,TRUE)/auxiliar!$B$4</f>
        <v>0.99964560122398838</v>
      </c>
    </row>
    <row r="366" spans="1:13" x14ac:dyDescent="0.25">
      <c r="A366" t="s">
        <v>12</v>
      </c>
      <c r="B366" t="s">
        <v>33</v>
      </c>
      <c r="C366" t="s">
        <v>288</v>
      </c>
      <c r="D366" s="3">
        <v>479.43</v>
      </c>
      <c r="E366" t="s">
        <v>379</v>
      </c>
      <c r="F366" t="s">
        <v>367</v>
      </c>
      <c r="G366" s="6" t="s">
        <v>12</v>
      </c>
      <c r="H366" s="6" t="s">
        <v>33</v>
      </c>
      <c r="I366" s="6" t="s">
        <v>288</v>
      </c>
      <c r="K366" s="6" t="b">
        <v>1</v>
      </c>
      <c r="L366" s="13">
        <f>SUMIFS($D$2:$D366,$E$2:$E366,"2007-2018",$K$2:$K366,TRUE)/auxiliar!$B$3</f>
        <v>0.98827755469520007</v>
      </c>
      <c r="M366" s="13">
        <f>SUMIFS($D$2:$D366,$E$2:$E366,"2019-2024",$K$2:$K366,TRUE)/auxiliar!$B$4</f>
        <v>0.99966035684954657</v>
      </c>
    </row>
    <row r="367" spans="1:13" x14ac:dyDescent="0.25">
      <c r="A367" t="s">
        <v>11</v>
      </c>
      <c r="B367" t="s">
        <v>16</v>
      </c>
      <c r="C367" t="s">
        <v>384</v>
      </c>
      <c r="D367" s="3">
        <v>424.1</v>
      </c>
      <c r="E367" t="s">
        <v>379</v>
      </c>
      <c r="F367" t="s">
        <v>367</v>
      </c>
      <c r="J367" s="10" t="s">
        <v>368</v>
      </c>
      <c r="K367" s="6" t="b">
        <v>0</v>
      </c>
      <c r="L367" s="13">
        <f>SUMIFS($D$2:$D367,$E$2:$E367,"2007-2018",$K$2:$K367,TRUE)/auxiliar!$B$3</f>
        <v>0.98827755469520007</v>
      </c>
      <c r="M367" s="13">
        <f>SUMIFS($D$2:$D367,$E$2:$E367,"2019-2024",$K$2:$K367,TRUE)/auxiliar!$B$4</f>
        <v>0.99966035684954657</v>
      </c>
    </row>
    <row r="368" spans="1:13" x14ac:dyDescent="0.25">
      <c r="A368" t="s">
        <v>12</v>
      </c>
      <c r="B368" t="s">
        <v>28</v>
      </c>
      <c r="C368" t="s">
        <v>292</v>
      </c>
      <c r="D368" s="3">
        <v>329.68</v>
      </c>
      <c r="E368" t="s">
        <v>379</v>
      </c>
      <c r="F368" t="s">
        <v>367</v>
      </c>
      <c r="G368" s="6" t="s">
        <v>12</v>
      </c>
      <c r="H368" s="6" t="s">
        <v>28</v>
      </c>
      <c r="I368" s="6" t="s">
        <v>292</v>
      </c>
      <c r="K368" s="6" t="b">
        <v>1</v>
      </c>
      <c r="L368" s="13">
        <f>SUMIFS($D$2:$D368,$E$2:$E368,"2007-2018",$K$2:$K368,TRUE)/auxiliar!$B$3</f>
        <v>0.98827755469520007</v>
      </c>
      <c r="M368" s="13">
        <f>SUMIFS($D$2:$D368,$E$2:$E368,"2019-2024",$K$2:$K368,TRUE)/auxiliar!$B$4</f>
        <v>0.99967050355424592</v>
      </c>
    </row>
    <row r="369" spans="1:13" x14ac:dyDescent="0.25">
      <c r="A369" t="s">
        <v>11</v>
      </c>
      <c r="B369" t="s">
        <v>21</v>
      </c>
      <c r="C369" t="s">
        <v>294</v>
      </c>
      <c r="D369" s="3">
        <v>323</v>
      </c>
      <c r="E369" t="s">
        <v>379</v>
      </c>
      <c r="F369" t="s">
        <v>367</v>
      </c>
      <c r="G369" s="6" t="s">
        <v>11</v>
      </c>
      <c r="H369" s="6" t="s">
        <v>21</v>
      </c>
      <c r="I369" s="6" t="s">
        <v>294</v>
      </c>
      <c r="K369" s="6" t="b">
        <v>1</v>
      </c>
      <c r="L369" s="13">
        <f>SUMIFS($D$2:$D369,$E$2:$E369,"2007-2018",$K$2:$K369,TRUE)/auxiliar!$B$3</f>
        <v>0.98827755469520007</v>
      </c>
      <c r="M369" s="13">
        <f>SUMIFS($D$2:$D369,$E$2:$E369,"2019-2024",$K$2:$K369,TRUE)/auxiliar!$B$4</f>
        <v>0.99968044466568085</v>
      </c>
    </row>
    <row r="370" spans="1:13" x14ac:dyDescent="0.25">
      <c r="A370" t="s">
        <v>11</v>
      </c>
      <c r="B370" t="s">
        <v>21</v>
      </c>
      <c r="C370" t="s">
        <v>291</v>
      </c>
      <c r="D370" s="3">
        <v>318.39999999999998</v>
      </c>
      <c r="E370" t="s">
        <v>379</v>
      </c>
      <c r="F370" t="s">
        <v>367</v>
      </c>
      <c r="G370" s="6" t="s">
        <v>11</v>
      </c>
      <c r="H370" s="6" t="s">
        <v>21</v>
      </c>
      <c r="I370" s="6" t="s">
        <v>291</v>
      </c>
      <c r="K370" s="6" t="b">
        <v>1</v>
      </c>
      <c r="L370" s="13">
        <f>SUMIFS($D$2:$D370,$E$2:$E370,"2007-2018",$K$2:$K370,TRUE)/auxiliar!$B$3</f>
        <v>0.98827755469520007</v>
      </c>
      <c r="M370" s="13">
        <f>SUMIFS($D$2:$D370,$E$2:$E370,"2019-2024",$K$2:$K370,TRUE)/auxiliar!$B$4</f>
        <v>0.9996902442009159</v>
      </c>
    </row>
    <row r="371" spans="1:13" x14ac:dyDescent="0.25">
      <c r="A371" t="s">
        <v>12</v>
      </c>
      <c r="B371" t="s">
        <v>24</v>
      </c>
      <c r="C371" t="s">
        <v>282</v>
      </c>
      <c r="D371" s="3">
        <v>309.3</v>
      </c>
      <c r="E371" t="s">
        <v>379</v>
      </c>
      <c r="F371" t="s">
        <v>367</v>
      </c>
      <c r="G371" s="6" t="s">
        <v>12</v>
      </c>
      <c r="H371" s="6" t="s">
        <v>24</v>
      </c>
      <c r="I371" s="6" t="s">
        <v>282</v>
      </c>
      <c r="K371" s="6" t="b">
        <v>1</v>
      </c>
      <c r="L371" s="13">
        <f>SUMIFS($D$2:$D371,$E$2:$E371,"2007-2018",$K$2:$K371,TRUE)/auxiliar!$B$3</f>
        <v>0.98827755469520007</v>
      </c>
      <c r="M371" s="13">
        <f>SUMIFS($D$2:$D371,$E$2:$E371,"2019-2024",$K$2:$K371,TRUE)/auxiliar!$B$4</f>
        <v>0.99969976366149438</v>
      </c>
    </row>
    <row r="372" spans="1:13" x14ac:dyDescent="0.25">
      <c r="A372" t="s">
        <v>11</v>
      </c>
      <c r="B372" t="s">
        <v>23</v>
      </c>
      <c r="C372" t="s">
        <v>302</v>
      </c>
      <c r="D372" s="3">
        <v>300.60000000000002</v>
      </c>
      <c r="E372" t="s">
        <v>379</v>
      </c>
      <c r="F372" t="s">
        <v>367</v>
      </c>
      <c r="G372" s="6" t="s">
        <v>11</v>
      </c>
      <c r="H372" s="6" t="s">
        <v>23</v>
      </c>
      <c r="I372" s="6" t="s">
        <v>302</v>
      </c>
      <c r="K372" s="6" t="b">
        <v>1</v>
      </c>
      <c r="L372" s="13">
        <f>SUMIFS($D$2:$D372,$E$2:$E372,"2007-2018",$K$2:$K372,TRUE)/auxiliar!$B$3</f>
        <v>0.98827755469520007</v>
      </c>
      <c r="M372" s="13">
        <f>SUMIFS($D$2:$D372,$E$2:$E372,"2019-2024",$K$2:$K372,TRUE)/auxiliar!$B$4</f>
        <v>0.9997090153583903</v>
      </c>
    </row>
    <row r="373" spans="1:13" x14ac:dyDescent="0.25">
      <c r="A373" t="s">
        <v>11</v>
      </c>
      <c r="B373" t="s">
        <v>21</v>
      </c>
      <c r="C373" t="s">
        <v>404</v>
      </c>
      <c r="D373" s="3">
        <v>266.39999999999998</v>
      </c>
      <c r="E373" t="s">
        <v>379</v>
      </c>
      <c r="F373" t="s">
        <v>367</v>
      </c>
      <c r="G373" s="6" t="s">
        <v>11</v>
      </c>
      <c r="H373" s="6" t="s">
        <v>21</v>
      </c>
      <c r="I373" s="6" t="s">
        <v>404</v>
      </c>
      <c r="J373" s="10"/>
      <c r="K373" s="6" t="b">
        <v>1</v>
      </c>
      <c r="L373" s="13">
        <f>SUMIFS($D$2:$D373,$E$2:$E373,"2007-2018",$K$2:$K373,TRUE)/auxiliar!$B$3</f>
        <v>0.98827755469520007</v>
      </c>
      <c r="M373" s="13">
        <f>SUMIFS($D$2:$D373,$E$2:$E373,"2019-2024",$K$2:$K373,TRUE)/auxiliar!$B$4</f>
        <v>0.99971721446701645</v>
      </c>
    </row>
    <row r="374" spans="1:13" x14ac:dyDescent="0.25">
      <c r="A374" t="s">
        <v>11</v>
      </c>
      <c r="B374" t="s">
        <v>33</v>
      </c>
      <c r="C374" t="s">
        <v>297</v>
      </c>
      <c r="D374" s="3">
        <v>261.54000000000002</v>
      </c>
      <c r="E374" t="s">
        <v>379</v>
      </c>
      <c r="F374" t="s">
        <v>367</v>
      </c>
      <c r="G374" s="6" t="s">
        <v>11</v>
      </c>
      <c r="H374" s="6" t="s">
        <v>33</v>
      </c>
      <c r="I374" s="6" t="s">
        <v>297</v>
      </c>
      <c r="K374" s="6" t="b">
        <v>1</v>
      </c>
      <c r="L374" s="13">
        <f>SUMIFS($D$2:$D374,$E$2:$E374,"2007-2018",$K$2:$K374,TRUE)/auxiliar!$B$3</f>
        <v>0.98827755469520007</v>
      </c>
      <c r="M374" s="13">
        <f>SUMIFS($D$2:$D374,$E$2:$E374,"2019-2024",$K$2:$K374,TRUE)/auxiliar!$B$4</f>
        <v>0.99972526399730965</v>
      </c>
    </row>
    <row r="375" spans="1:13" x14ac:dyDescent="0.25">
      <c r="A375" t="s">
        <v>12</v>
      </c>
      <c r="B375" t="s">
        <v>28</v>
      </c>
      <c r="C375" t="s">
        <v>316</v>
      </c>
      <c r="D375" s="3">
        <v>250.6</v>
      </c>
      <c r="E375" t="s">
        <v>379</v>
      </c>
      <c r="F375" t="s">
        <v>367</v>
      </c>
      <c r="G375" s="6" t="s">
        <v>12</v>
      </c>
      <c r="H375" s="6" t="s">
        <v>28</v>
      </c>
      <c r="I375" s="6" t="s">
        <v>316</v>
      </c>
      <c r="K375" s="6" t="b">
        <v>1</v>
      </c>
      <c r="L375" s="13">
        <f>SUMIFS($D$2:$D375,$E$2:$E375,"2007-2018",$K$2:$K375,TRUE)/auxiliar!$B$3</f>
        <v>0.98827755469520007</v>
      </c>
      <c r="M375" s="13">
        <f>SUMIFS($D$2:$D375,$E$2:$E375,"2019-2024",$K$2:$K375,TRUE)/auxiliar!$B$4</f>
        <v>0.99973297682246642</v>
      </c>
    </row>
    <row r="376" spans="1:13" x14ac:dyDescent="0.25">
      <c r="A376" t="s">
        <v>11</v>
      </c>
      <c r="B376" t="s">
        <v>21</v>
      </c>
      <c r="C376" t="s">
        <v>315</v>
      </c>
      <c r="D376" s="3">
        <v>232</v>
      </c>
      <c r="E376" t="s">
        <v>379</v>
      </c>
      <c r="F376" t="s">
        <v>367</v>
      </c>
      <c r="G376" s="6" t="s">
        <v>11</v>
      </c>
      <c r="H376" s="6" t="s">
        <v>21</v>
      </c>
      <c r="I376" s="6" t="s">
        <v>315</v>
      </c>
      <c r="K376" s="6" t="b">
        <v>1</v>
      </c>
      <c r="L376" s="13">
        <f>SUMIFS($D$2:$D376,$E$2:$E376,"2007-2018",$K$2:$K376,TRUE)/auxiliar!$B$3</f>
        <v>0.98827755469520007</v>
      </c>
      <c r="M376" s="13">
        <f>SUMIFS($D$2:$D376,$E$2:$E376,"2019-2024",$K$2:$K376,TRUE)/auxiliar!$B$4</f>
        <v>0.99974011718733613</v>
      </c>
    </row>
    <row r="377" spans="1:13" x14ac:dyDescent="0.25">
      <c r="A377" t="s">
        <v>11</v>
      </c>
      <c r="B377" t="s">
        <v>21</v>
      </c>
      <c r="C377" t="s">
        <v>406</v>
      </c>
      <c r="D377" s="3">
        <v>176</v>
      </c>
      <c r="E377" t="s">
        <v>379</v>
      </c>
      <c r="F377" t="s">
        <v>367</v>
      </c>
      <c r="G377" s="6" t="s">
        <v>11</v>
      </c>
      <c r="H377" s="6" t="s">
        <v>21</v>
      </c>
      <c r="I377" s="6" t="s">
        <v>406</v>
      </c>
      <c r="J377" s="10"/>
      <c r="K377" s="6" t="b">
        <v>1</v>
      </c>
      <c r="L377" s="13">
        <f>SUMIFS($D$2:$D377,$E$2:$E377,"2007-2018",$K$2:$K377,TRUE)/auxiliar!$B$3</f>
        <v>0.98827755469520007</v>
      </c>
      <c r="M377" s="13">
        <f>SUMIFS($D$2:$D377,$E$2:$E377,"2019-2024",$K$2:$K377,TRUE)/auxiliar!$B$4</f>
        <v>0.99974553401585797</v>
      </c>
    </row>
    <row r="378" spans="1:13" x14ac:dyDescent="0.25">
      <c r="A378" t="s">
        <v>12</v>
      </c>
      <c r="B378" t="s">
        <v>33</v>
      </c>
      <c r="C378" t="s">
        <v>340</v>
      </c>
      <c r="D378" s="3">
        <v>174.1</v>
      </c>
      <c r="E378" t="s">
        <v>379</v>
      </c>
      <c r="F378" t="s">
        <v>367</v>
      </c>
      <c r="G378" s="6" t="s">
        <v>12</v>
      </c>
      <c r="H378" s="6" t="s">
        <v>33</v>
      </c>
      <c r="I378" s="6" t="s">
        <v>340</v>
      </c>
      <c r="K378" s="6" t="b">
        <v>1</v>
      </c>
      <c r="L378" s="13">
        <f>SUMIFS($D$2:$D378,$E$2:$E378,"2007-2018",$K$2:$K378,TRUE)/auxiliar!$B$3</f>
        <v>0.98827755469520007</v>
      </c>
      <c r="M378" s="13">
        <f>SUMIFS($D$2:$D378,$E$2:$E378,"2019-2024",$K$2:$K378,TRUE)/auxiliar!$B$4</f>
        <v>0.99975089236725379</v>
      </c>
    </row>
    <row r="379" spans="1:13" x14ac:dyDescent="0.25">
      <c r="A379" t="s">
        <v>11</v>
      </c>
      <c r="B379" t="s">
        <v>17</v>
      </c>
      <c r="C379" t="s">
        <v>281</v>
      </c>
      <c r="D379" s="3">
        <v>172</v>
      </c>
      <c r="E379" t="s">
        <v>379</v>
      </c>
      <c r="F379" t="s">
        <v>367</v>
      </c>
      <c r="G379" s="6" t="s">
        <v>11</v>
      </c>
      <c r="H379" s="6" t="s">
        <v>17</v>
      </c>
      <c r="I379" s="6" t="s">
        <v>281</v>
      </c>
      <c r="K379" s="6" t="b">
        <v>1</v>
      </c>
      <c r="L379" s="13">
        <f>SUMIFS($D$2:$D379,$E$2:$E379,"2007-2018",$K$2:$K379,TRUE)/auxiliar!$B$3</f>
        <v>0.98827755469520007</v>
      </c>
      <c r="M379" s="13">
        <f>SUMIFS($D$2:$D379,$E$2:$E379,"2019-2024",$K$2:$K379,TRUE)/auxiliar!$B$4</f>
        <v>0.99975618608603656</v>
      </c>
    </row>
    <row r="380" spans="1:13" x14ac:dyDescent="0.25">
      <c r="A380" t="s">
        <v>11</v>
      </c>
      <c r="B380" t="s">
        <v>21</v>
      </c>
      <c r="C380" t="s">
        <v>339</v>
      </c>
      <c r="D380" s="3">
        <v>149.5</v>
      </c>
      <c r="E380" t="s">
        <v>379</v>
      </c>
      <c r="F380" t="s">
        <v>367</v>
      </c>
      <c r="G380" s="6" t="s">
        <v>11</v>
      </c>
      <c r="H380" s="6" t="s">
        <v>21</v>
      </c>
      <c r="I380" s="6" t="s">
        <v>339</v>
      </c>
      <c r="K380" s="6" t="b">
        <v>1</v>
      </c>
      <c r="L380" s="13">
        <f>SUMIFS($D$2:$D380,$E$2:$E380,"2007-2018",$K$2:$K380,TRUE)/auxiliar!$B$3</f>
        <v>0.98827755469520007</v>
      </c>
      <c r="M380" s="13">
        <f>SUMIFS($D$2:$D380,$E$2:$E380,"2019-2024",$K$2:$K380,TRUE)/auxiliar!$B$4</f>
        <v>0.9997607873125367</v>
      </c>
    </row>
    <row r="381" spans="1:13" x14ac:dyDescent="0.25">
      <c r="A381" t="s">
        <v>12</v>
      </c>
      <c r="B381" t="s">
        <v>23</v>
      </c>
      <c r="C381" t="s">
        <v>324</v>
      </c>
      <c r="D381" s="3">
        <v>145.65</v>
      </c>
      <c r="E381" t="s">
        <v>379</v>
      </c>
      <c r="F381" t="s">
        <v>367</v>
      </c>
      <c r="G381" s="6" t="s">
        <v>12</v>
      </c>
      <c r="H381" s="6" t="s">
        <v>23</v>
      </c>
      <c r="I381" s="6" t="s">
        <v>324</v>
      </c>
      <c r="K381" s="6" t="b">
        <v>1</v>
      </c>
      <c r="L381" s="13">
        <f>SUMIFS($D$2:$D381,$E$2:$E381,"2007-2018",$K$2:$K381,TRUE)/auxiliar!$B$3</f>
        <v>0.98827755469520007</v>
      </c>
      <c r="M381" s="13">
        <f>SUMIFS($D$2:$D381,$E$2:$E381,"2019-2024",$K$2:$K381,TRUE)/auxiliar!$B$4</f>
        <v>0.99976527004591276</v>
      </c>
    </row>
    <row r="382" spans="1:13" x14ac:dyDescent="0.25">
      <c r="A382" t="s">
        <v>11</v>
      </c>
      <c r="B382" t="s">
        <v>24</v>
      </c>
      <c r="C382" t="s">
        <v>342</v>
      </c>
      <c r="D382" s="3">
        <v>142</v>
      </c>
      <c r="E382" t="s">
        <v>379</v>
      </c>
      <c r="F382" t="s">
        <v>367</v>
      </c>
      <c r="G382" s="6" t="s">
        <v>11</v>
      </c>
      <c r="H382" s="6" t="s">
        <v>24</v>
      </c>
      <c r="I382" s="6" t="s">
        <v>342</v>
      </c>
      <c r="K382" s="6" t="b">
        <v>1</v>
      </c>
      <c r="L382" s="13">
        <f>SUMIFS($D$2:$D382,$E$2:$E382,"2007-2018",$K$2:$K382,TRUE)/auxiliar!$B$3</f>
        <v>0.98827755469520007</v>
      </c>
      <c r="M382" s="13">
        <f>SUMIFS($D$2:$D382,$E$2:$E382,"2019-2024",$K$2:$K382,TRUE)/auxiliar!$B$4</f>
        <v>0.99976964044165206</v>
      </c>
    </row>
    <row r="383" spans="1:13" x14ac:dyDescent="0.25">
      <c r="A383" t="s">
        <v>11</v>
      </c>
      <c r="B383" t="s">
        <v>21</v>
      </c>
      <c r="C383" t="s">
        <v>334</v>
      </c>
      <c r="D383" s="3">
        <v>129.69999999999999</v>
      </c>
      <c r="E383" t="s">
        <v>379</v>
      </c>
      <c r="F383" t="s">
        <v>367</v>
      </c>
      <c r="G383" s="6" t="s">
        <v>11</v>
      </c>
      <c r="H383" s="6" t="s">
        <v>21</v>
      </c>
      <c r="I383" s="6" t="s">
        <v>334</v>
      </c>
      <c r="K383" s="6" t="b">
        <v>1</v>
      </c>
      <c r="L383" s="13">
        <f>SUMIFS($D$2:$D383,$E$2:$E383,"2007-2018",$K$2:$K383,TRUE)/auxiliar!$B$3</f>
        <v>0.98827755469520007</v>
      </c>
      <c r="M383" s="13">
        <f>SUMIFS($D$2:$D383,$E$2:$E383,"2019-2024",$K$2:$K383,TRUE)/auxiliar!$B$4</f>
        <v>0.99977363227494342</v>
      </c>
    </row>
    <row r="384" spans="1:13" x14ac:dyDescent="0.25">
      <c r="A384" t="s">
        <v>11</v>
      </c>
      <c r="B384" t="s">
        <v>33</v>
      </c>
      <c r="C384" t="s">
        <v>325</v>
      </c>
      <c r="D384" s="3">
        <v>113.2</v>
      </c>
      <c r="E384" t="s">
        <v>379</v>
      </c>
      <c r="F384" t="s">
        <v>367</v>
      </c>
      <c r="G384" s="6" t="s">
        <v>11</v>
      </c>
      <c r="H384" s="6" t="s">
        <v>33</v>
      </c>
      <c r="I384" s="6" t="s">
        <v>325</v>
      </c>
      <c r="K384" s="6" t="b">
        <v>1</v>
      </c>
      <c r="L384" s="13">
        <f>SUMIFS($D$2:$D384,$E$2:$E384,"2007-2018",$K$2:$K384,TRUE)/auxiliar!$B$3</f>
        <v>0.98827755469520007</v>
      </c>
      <c r="M384" s="13">
        <f>SUMIFS($D$2:$D384,$E$2:$E384,"2019-2024",$K$2:$K384,TRUE)/auxiliar!$B$4</f>
        <v>0.99977711628056087</v>
      </c>
    </row>
    <row r="385" spans="1:13" x14ac:dyDescent="0.25">
      <c r="A385" t="s">
        <v>11</v>
      </c>
      <c r="B385" t="s">
        <v>33</v>
      </c>
      <c r="C385" t="s">
        <v>337</v>
      </c>
      <c r="D385" s="3">
        <v>96.9</v>
      </c>
      <c r="E385" t="s">
        <v>379</v>
      </c>
      <c r="F385" t="s">
        <v>367</v>
      </c>
      <c r="G385" s="6" t="s">
        <v>11</v>
      </c>
      <c r="H385" s="6" t="s">
        <v>33</v>
      </c>
      <c r="I385" s="6" t="s">
        <v>337</v>
      </c>
      <c r="K385" s="6" t="b">
        <v>1</v>
      </c>
      <c r="L385" s="13">
        <f>SUMIFS($D$2:$D385,$E$2:$E385,"2007-2018",$K$2:$K385,TRUE)/auxiliar!$B$3</f>
        <v>0.98827755469520007</v>
      </c>
      <c r="M385" s="13">
        <f>SUMIFS($D$2:$D385,$E$2:$E385,"2019-2024",$K$2:$K385,TRUE)/auxiliar!$B$4</f>
        <v>0.99978009861399131</v>
      </c>
    </row>
    <row r="386" spans="1:13" x14ac:dyDescent="0.25">
      <c r="A386" t="s">
        <v>12</v>
      </c>
      <c r="B386" t="s">
        <v>33</v>
      </c>
      <c r="C386" t="s">
        <v>321</v>
      </c>
      <c r="D386" s="3">
        <v>77.900000000000006</v>
      </c>
      <c r="E386" t="s">
        <v>379</v>
      </c>
      <c r="F386" t="s">
        <v>367</v>
      </c>
      <c r="G386" s="6" t="s">
        <v>11</v>
      </c>
      <c r="H386" s="6" t="s">
        <v>33</v>
      </c>
      <c r="I386" s="6" t="s">
        <v>220</v>
      </c>
      <c r="K386" s="6" t="b">
        <v>1</v>
      </c>
      <c r="L386" s="13">
        <f>SUMIFS($D$2:$D386,$E$2:$E386,"2007-2018",$K$2:$K386,TRUE)/auxiliar!$B$3</f>
        <v>0.98827755469520007</v>
      </c>
      <c r="M386" s="13">
        <f>SUMIFS($D$2:$D386,$E$2:$E386,"2019-2024",$K$2:$K386,TRUE)/auxiliar!$B$4</f>
        <v>0.99978249617616088</v>
      </c>
    </row>
    <row r="387" spans="1:13" x14ac:dyDescent="0.25">
      <c r="A387" t="s">
        <v>11</v>
      </c>
      <c r="B387" t="s">
        <v>21</v>
      </c>
      <c r="C387" t="s">
        <v>398</v>
      </c>
      <c r="D387" s="3">
        <v>76.400000000000006</v>
      </c>
      <c r="E387" t="s">
        <v>379</v>
      </c>
      <c r="F387" t="s">
        <v>367</v>
      </c>
      <c r="G387" s="6" t="s">
        <v>11</v>
      </c>
      <c r="H387" s="6" t="s">
        <v>21</v>
      </c>
      <c r="I387" s="6" t="s">
        <v>398</v>
      </c>
      <c r="J387" s="10"/>
      <c r="K387" s="6" t="b">
        <v>1</v>
      </c>
      <c r="L387" s="13">
        <f>SUMIFS($D$2:$D387,$E$2:$E387,"2007-2018",$K$2:$K387,TRUE)/auxiliar!$B$3</f>
        <v>0.98827755469520007</v>
      </c>
      <c r="M387" s="13">
        <f>SUMIFS($D$2:$D387,$E$2:$E387,"2019-2024",$K$2:$K387,TRUE)/auxiliar!$B$4</f>
        <v>0.99978484757217834</v>
      </c>
    </row>
    <row r="388" spans="1:13" x14ac:dyDescent="0.25">
      <c r="A388" t="s">
        <v>12</v>
      </c>
      <c r="B388" t="s">
        <v>28</v>
      </c>
      <c r="C388" t="s">
        <v>328</v>
      </c>
      <c r="D388" s="3">
        <v>73.8</v>
      </c>
      <c r="E388" t="s">
        <v>379</v>
      </c>
      <c r="F388" t="s">
        <v>367</v>
      </c>
      <c r="G388" s="6" t="s">
        <v>12</v>
      </c>
      <c r="H388" s="6" t="s">
        <v>28</v>
      </c>
      <c r="I388" s="6" t="s">
        <v>328</v>
      </c>
      <c r="K388" s="6" t="b">
        <v>1</v>
      </c>
      <c r="L388" s="13">
        <f>SUMIFS($D$2:$D388,$E$2:$E388,"2007-2018",$K$2:$K388,TRUE)/auxiliar!$B$3</f>
        <v>0.98827755469520007</v>
      </c>
      <c r="M388" s="13">
        <f>SUMIFS($D$2:$D388,$E$2:$E388,"2019-2024",$K$2:$K388,TRUE)/auxiliar!$B$4</f>
        <v>0.99978711894686534</v>
      </c>
    </row>
    <row r="389" spans="1:13" x14ac:dyDescent="0.25">
      <c r="A389" t="s">
        <v>11</v>
      </c>
      <c r="B389" t="s">
        <v>33</v>
      </c>
      <c r="C389" t="s">
        <v>333</v>
      </c>
      <c r="D389" s="3">
        <v>72.97</v>
      </c>
      <c r="E389" t="s">
        <v>379</v>
      </c>
      <c r="F389" t="s">
        <v>367</v>
      </c>
      <c r="G389" s="6" t="s">
        <v>11</v>
      </c>
      <c r="H389" s="6" t="s">
        <v>33</v>
      </c>
      <c r="I389" s="6" t="s">
        <v>333</v>
      </c>
      <c r="K389" s="6" t="b">
        <v>1</v>
      </c>
      <c r="L389" s="13">
        <f>SUMIFS($D$2:$D389,$E$2:$E389,"2007-2018",$K$2:$K389,TRUE)/auxiliar!$B$3</f>
        <v>0.98827755469520007</v>
      </c>
      <c r="M389" s="13">
        <f>SUMIFS($D$2:$D389,$E$2:$E389,"2019-2024",$K$2:$K389,TRUE)/auxiliar!$B$4</f>
        <v>0.99978936477628144</v>
      </c>
    </row>
    <row r="390" spans="1:13" x14ac:dyDescent="0.25">
      <c r="A390" t="s">
        <v>11</v>
      </c>
      <c r="B390" t="s">
        <v>21</v>
      </c>
      <c r="C390" t="s">
        <v>307</v>
      </c>
      <c r="D390" s="3">
        <v>72</v>
      </c>
      <c r="E390" t="s">
        <v>379</v>
      </c>
      <c r="F390" t="s">
        <v>367</v>
      </c>
      <c r="G390" s="6" t="s">
        <v>11</v>
      </c>
      <c r="H390" s="6" t="s">
        <v>21</v>
      </c>
      <c r="I390" s="6" t="s">
        <v>307</v>
      </c>
      <c r="K390" s="6" t="b">
        <v>1</v>
      </c>
      <c r="L390" s="13">
        <f>SUMIFS($D$2:$D390,$E$2:$E390,"2007-2018",$K$2:$K390,TRUE)/auxiliar!$B$3</f>
        <v>0.98827755469520007</v>
      </c>
      <c r="M390" s="13">
        <f>SUMIFS($D$2:$D390,$E$2:$E390,"2019-2024",$K$2:$K390,TRUE)/auxiliar!$B$4</f>
        <v>0.99979158075158581</v>
      </c>
    </row>
    <row r="391" spans="1:13" x14ac:dyDescent="0.25">
      <c r="A391" t="s">
        <v>11</v>
      </c>
      <c r="B391" t="s">
        <v>17</v>
      </c>
      <c r="C391" t="s">
        <v>411</v>
      </c>
      <c r="D391" s="3">
        <v>70</v>
      </c>
      <c r="E391" t="s">
        <v>379</v>
      </c>
      <c r="F391" t="s">
        <v>367</v>
      </c>
      <c r="J391" s="10" t="s">
        <v>368</v>
      </c>
      <c r="K391" s="6" t="b">
        <v>0</v>
      </c>
      <c r="L391" s="13">
        <f>SUMIFS($D$2:$D391,$E$2:$E391,"2007-2018",$K$2:$K391,TRUE)/auxiliar!$B$3</f>
        <v>0.98827755469520007</v>
      </c>
      <c r="M391" s="13">
        <f>SUMIFS($D$2:$D391,$E$2:$E391,"2019-2024",$K$2:$K391,TRUE)/auxiliar!$B$4</f>
        <v>0.99979158075158581</v>
      </c>
    </row>
    <row r="392" spans="1:13" x14ac:dyDescent="0.25">
      <c r="A392" t="s">
        <v>12</v>
      </c>
      <c r="B392" t="s">
        <v>28</v>
      </c>
      <c r="C392" t="s">
        <v>421</v>
      </c>
      <c r="D392" s="3">
        <v>60</v>
      </c>
      <c r="E392" t="s">
        <v>379</v>
      </c>
      <c r="F392" t="s">
        <v>367</v>
      </c>
      <c r="G392" s="6" t="s">
        <v>12</v>
      </c>
      <c r="H392" s="6" t="s">
        <v>28</v>
      </c>
      <c r="I392" s="6" t="s">
        <v>421</v>
      </c>
      <c r="J392" s="10"/>
      <c r="K392" s="6" t="b">
        <v>1</v>
      </c>
      <c r="L392" s="13">
        <f>SUMIFS($D$2:$D392,$E$2:$E392,"2007-2018",$K$2:$K392,TRUE)/auxiliar!$B$3</f>
        <v>0.98827755469520007</v>
      </c>
      <c r="M392" s="13">
        <f>SUMIFS($D$2:$D392,$E$2:$E392,"2019-2024",$K$2:$K392,TRUE)/auxiliar!$B$4</f>
        <v>0.99979342739767285</v>
      </c>
    </row>
    <row r="393" spans="1:13" x14ac:dyDescent="0.25">
      <c r="A393" t="s">
        <v>11</v>
      </c>
      <c r="B393" t="s">
        <v>21</v>
      </c>
      <c r="C393" t="s">
        <v>346</v>
      </c>
      <c r="D393" s="3">
        <v>57.4</v>
      </c>
      <c r="E393" t="s">
        <v>379</v>
      </c>
      <c r="F393" t="s">
        <v>367</v>
      </c>
      <c r="G393" s="6" t="s">
        <v>11</v>
      </c>
      <c r="H393" s="6" t="s">
        <v>21</v>
      </c>
      <c r="I393" s="6" t="s">
        <v>346</v>
      </c>
      <c r="K393" s="6" t="b">
        <v>1</v>
      </c>
      <c r="L393" s="13">
        <f>SUMIFS($D$2:$D393,$E$2:$E393,"2007-2018",$K$2:$K393,TRUE)/auxiliar!$B$3</f>
        <v>0.98827755469520007</v>
      </c>
      <c r="M393" s="13">
        <f>SUMIFS($D$2:$D393,$E$2:$E393,"2019-2024",$K$2:$K393,TRUE)/auxiliar!$B$4</f>
        <v>0.99979519402242933</v>
      </c>
    </row>
    <row r="394" spans="1:13" x14ac:dyDescent="0.25">
      <c r="A394" t="s">
        <v>11</v>
      </c>
      <c r="B394" t="s">
        <v>21</v>
      </c>
      <c r="C394" t="s">
        <v>355</v>
      </c>
      <c r="D394" s="3">
        <v>56.75</v>
      </c>
      <c r="E394" t="s">
        <v>379</v>
      </c>
      <c r="F394" t="s">
        <v>367</v>
      </c>
      <c r="G394" s="6" t="s">
        <v>11</v>
      </c>
      <c r="H394" s="6" t="s">
        <v>21</v>
      </c>
      <c r="I394" s="6" t="s">
        <v>355</v>
      </c>
      <c r="K394" s="6" t="b">
        <v>1</v>
      </c>
      <c r="L394" s="13">
        <f>SUMIFS($D$2:$D394,$E$2:$E394,"2007-2018",$K$2:$K394,TRUE)/auxiliar!$B$3</f>
        <v>0.98827755469520007</v>
      </c>
      <c r="M394" s="13">
        <f>SUMIFS($D$2:$D394,$E$2:$E394,"2019-2024",$K$2:$K394,TRUE)/auxiliar!$B$4</f>
        <v>0.99979694064185332</v>
      </c>
    </row>
    <row r="395" spans="1:13" x14ac:dyDescent="0.25">
      <c r="A395" t="s">
        <v>11</v>
      </c>
      <c r="B395" t="s">
        <v>21</v>
      </c>
      <c r="C395" t="s">
        <v>344</v>
      </c>
      <c r="D395" s="3">
        <v>51</v>
      </c>
      <c r="E395" t="s">
        <v>379</v>
      </c>
      <c r="F395" t="s">
        <v>367</v>
      </c>
      <c r="G395" s="6" t="s">
        <v>11</v>
      </c>
      <c r="H395" s="6" t="s">
        <v>21</v>
      </c>
      <c r="I395" s="6" t="s">
        <v>344</v>
      </c>
      <c r="K395" s="6" t="b">
        <v>1</v>
      </c>
      <c r="L395" s="13">
        <f>SUMIFS($D$2:$D395,$E$2:$E395,"2007-2018",$K$2:$K395,TRUE)/auxiliar!$B$3</f>
        <v>0.98827755469520007</v>
      </c>
      <c r="M395" s="13">
        <f>SUMIFS($D$2:$D395,$E$2:$E395,"2019-2024",$K$2:$K395,TRUE)/auxiliar!$B$4</f>
        <v>0.99979851029102718</v>
      </c>
    </row>
    <row r="396" spans="1:13" x14ac:dyDescent="0.25">
      <c r="A396" t="s">
        <v>11</v>
      </c>
      <c r="B396" t="s">
        <v>17</v>
      </c>
      <c r="C396" t="s">
        <v>410</v>
      </c>
      <c r="D396" s="3">
        <v>44.5</v>
      </c>
      <c r="E396" t="s">
        <v>379</v>
      </c>
      <c r="F396" t="s">
        <v>367</v>
      </c>
      <c r="J396" s="10" t="s">
        <v>368</v>
      </c>
      <c r="K396" s="6" t="b">
        <v>0</v>
      </c>
      <c r="L396" s="13">
        <f>SUMIFS($D$2:$D396,$E$2:$E396,"2007-2018",$K$2:$K396,TRUE)/auxiliar!$B$3</f>
        <v>0.98827755469520007</v>
      </c>
      <c r="M396" s="13">
        <f>SUMIFS($D$2:$D396,$E$2:$E396,"2019-2024",$K$2:$K396,TRUE)/auxiliar!$B$4</f>
        <v>0.99979851029102718</v>
      </c>
    </row>
    <row r="397" spans="1:13" x14ac:dyDescent="0.25">
      <c r="A397" t="s">
        <v>11</v>
      </c>
      <c r="B397" t="s">
        <v>33</v>
      </c>
      <c r="C397" t="s">
        <v>353</v>
      </c>
      <c r="D397" s="3">
        <v>39</v>
      </c>
      <c r="E397" t="s">
        <v>379</v>
      </c>
      <c r="F397" t="s">
        <v>367</v>
      </c>
      <c r="G397" s="6" t="s">
        <v>11</v>
      </c>
      <c r="H397" s="6" t="s">
        <v>33</v>
      </c>
      <c r="I397" s="6" t="s">
        <v>353</v>
      </c>
      <c r="K397" s="6" t="b">
        <v>1</v>
      </c>
      <c r="L397" s="13">
        <f>SUMIFS($D$2:$D397,$E$2:$E397,"2007-2018",$K$2:$K397,TRUE)/auxiliar!$B$3</f>
        <v>0.98827755469520007</v>
      </c>
      <c r="M397" s="13">
        <f>SUMIFS($D$2:$D397,$E$2:$E397,"2019-2024",$K$2:$K397,TRUE)/auxiliar!$B$4</f>
        <v>0.99979971061098383</v>
      </c>
    </row>
    <row r="398" spans="1:13" x14ac:dyDescent="0.25">
      <c r="A398" t="s">
        <v>11</v>
      </c>
      <c r="B398" t="s">
        <v>33</v>
      </c>
      <c r="C398" t="s">
        <v>349</v>
      </c>
      <c r="D398" s="3">
        <v>35.200000000000003</v>
      </c>
      <c r="E398" t="s">
        <v>379</v>
      </c>
      <c r="F398" t="s">
        <v>367</v>
      </c>
      <c r="G398" s="6" t="s">
        <v>11</v>
      </c>
      <c r="H398" s="6" t="s">
        <v>33</v>
      </c>
      <c r="I398" s="6" t="s">
        <v>349</v>
      </c>
      <c r="K398" s="6" t="b">
        <v>1</v>
      </c>
      <c r="L398" s="13">
        <f>SUMIFS($D$2:$D398,$E$2:$E398,"2007-2018",$K$2:$K398,TRUE)/auxiliar!$B$3</f>
        <v>0.98827755469520007</v>
      </c>
      <c r="M398" s="13">
        <f>SUMIFS($D$2:$D398,$E$2:$E398,"2019-2024",$K$2:$K398,TRUE)/auxiliar!$B$4</f>
        <v>0.99980079397668808</v>
      </c>
    </row>
    <row r="399" spans="1:13" x14ac:dyDescent="0.25">
      <c r="A399" t="s">
        <v>11</v>
      </c>
      <c r="B399" t="s">
        <v>33</v>
      </c>
      <c r="C399" t="s">
        <v>351</v>
      </c>
      <c r="D399" s="3">
        <v>31.2</v>
      </c>
      <c r="E399" t="s">
        <v>379</v>
      </c>
      <c r="F399" t="s">
        <v>367</v>
      </c>
      <c r="G399" s="6" t="s">
        <v>11</v>
      </c>
      <c r="H399" s="6" t="s">
        <v>33</v>
      </c>
      <c r="I399" s="6" t="s">
        <v>351</v>
      </c>
      <c r="K399" s="6" t="b">
        <v>1</v>
      </c>
      <c r="L399" s="13">
        <f>SUMIFS($D$2:$D399,$E$2:$E399,"2007-2018",$K$2:$K399,TRUE)/auxiliar!$B$3</f>
        <v>0.98827755469520007</v>
      </c>
      <c r="M399" s="13">
        <f>SUMIFS($D$2:$D399,$E$2:$E399,"2019-2024",$K$2:$K399,TRUE)/auxiliar!$B$4</f>
        <v>0.99980175423265338</v>
      </c>
    </row>
    <row r="400" spans="1:13" x14ac:dyDescent="0.25">
      <c r="A400" t="s">
        <v>12</v>
      </c>
      <c r="B400" t="s">
        <v>23</v>
      </c>
      <c r="C400" t="s">
        <v>433</v>
      </c>
      <c r="D400" s="3">
        <v>31.2</v>
      </c>
      <c r="E400" t="s">
        <v>379</v>
      </c>
      <c r="F400" t="s">
        <v>367</v>
      </c>
      <c r="J400" s="10" t="s">
        <v>368</v>
      </c>
      <c r="K400" s="6" t="b">
        <v>0</v>
      </c>
      <c r="L400" s="13">
        <f>SUMIFS($D$2:$D400,$E$2:$E400,"2007-2018",$K$2:$K400,TRUE)/auxiliar!$B$3</f>
        <v>0.98827755469520007</v>
      </c>
      <c r="M400" s="13">
        <f>SUMIFS($D$2:$D400,$E$2:$E400,"2019-2024",$K$2:$K400,TRUE)/auxiliar!$B$4</f>
        <v>0.99980175423265338</v>
      </c>
    </row>
    <row r="401" spans="1:13" x14ac:dyDescent="0.25">
      <c r="A401" t="s">
        <v>12</v>
      </c>
      <c r="B401" t="s">
        <v>23</v>
      </c>
      <c r="C401" t="s">
        <v>432</v>
      </c>
      <c r="D401" s="3">
        <v>23.35</v>
      </c>
      <c r="E401" t="s">
        <v>379</v>
      </c>
      <c r="F401" t="s">
        <v>367</v>
      </c>
      <c r="J401" s="10" t="s">
        <v>368</v>
      </c>
      <c r="K401" s="6" t="b">
        <v>0</v>
      </c>
      <c r="L401" s="13">
        <f>SUMIFS($D$2:$D401,$E$2:$E401,"2007-2018",$K$2:$K401,TRUE)/auxiliar!$B$3</f>
        <v>0.98827755469520007</v>
      </c>
      <c r="M401" s="13">
        <f>SUMIFS($D$2:$D401,$E$2:$E401,"2019-2024",$K$2:$K401,TRUE)/auxiliar!$B$4</f>
        <v>0.99980175423265338</v>
      </c>
    </row>
    <row r="402" spans="1:13" x14ac:dyDescent="0.25">
      <c r="A402" t="s">
        <v>11</v>
      </c>
      <c r="B402" t="s">
        <v>21</v>
      </c>
      <c r="C402" t="s">
        <v>401</v>
      </c>
      <c r="D402" s="3">
        <v>21.75</v>
      </c>
      <c r="E402" t="s">
        <v>379</v>
      </c>
      <c r="F402" t="s">
        <v>367</v>
      </c>
      <c r="G402" s="6" t="s">
        <v>11</v>
      </c>
      <c r="H402" s="6" t="s">
        <v>21</v>
      </c>
      <c r="I402" s="6" t="s">
        <v>401</v>
      </c>
      <c r="J402" s="10"/>
      <c r="K402" s="6" t="b">
        <v>1</v>
      </c>
      <c r="L402" s="13">
        <f>SUMIFS($D$2:$D402,$E$2:$E402,"2007-2018",$K$2:$K402,TRUE)/auxiliar!$B$3</f>
        <v>0.98827755469520007</v>
      </c>
      <c r="M402" s="13">
        <f>SUMIFS($D$2:$D402,$E$2:$E402,"2019-2024",$K$2:$K402,TRUE)/auxiliar!$B$4</f>
        <v>0.99980242364185989</v>
      </c>
    </row>
    <row r="403" spans="1:13" x14ac:dyDescent="0.25">
      <c r="A403" t="s">
        <v>11</v>
      </c>
      <c r="B403" t="s">
        <v>21</v>
      </c>
      <c r="C403" t="s">
        <v>335</v>
      </c>
      <c r="D403" s="3">
        <v>20</v>
      </c>
      <c r="E403" t="s">
        <v>379</v>
      </c>
      <c r="F403" t="s">
        <v>367</v>
      </c>
      <c r="G403" s="6" t="s">
        <v>11</v>
      </c>
      <c r="H403" s="6" t="s">
        <v>21</v>
      </c>
      <c r="I403" s="6" t="s">
        <v>335</v>
      </c>
      <c r="K403" s="6" t="b">
        <v>1</v>
      </c>
      <c r="L403" s="13">
        <f>SUMIFS($D$2:$D403,$E$2:$E403,"2007-2018",$K$2:$K403,TRUE)/auxiliar!$B$3</f>
        <v>0.98827755469520007</v>
      </c>
      <c r="M403" s="13">
        <f>SUMIFS($D$2:$D403,$E$2:$E403,"2019-2024",$K$2:$K403,TRUE)/auxiliar!$B$4</f>
        <v>0.99980303919055558</v>
      </c>
    </row>
    <row r="404" spans="1:13" x14ac:dyDescent="0.25">
      <c r="A404" t="s">
        <v>11</v>
      </c>
      <c r="B404" t="s">
        <v>33</v>
      </c>
      <c r="C404" t="s">
        <v>381</v>
      </c>
      <c r="D404" s="3">
        <v>11.4</v>
      </c>
      <c r="E404" t="s">
        <v>379</v>
      </c>
      <c r="F404" t="s">
        <v>367</v>
      </c>
      <c r="G404" s="6" t="s">
        <v>11</v>
      </c>
      <c r="H404" s="6" t="s">
        <v>33</v>
      </c>
      <c r="I404" s="6" t="s">
        <v>381</v>
      </c>
      <c r="J404" s="10"/>
      <c r="K404" s="6" t="b">
        <v>1</v>
      </c>
      <c r="L404" s="13">
        <f>SUMIFS($D$2:$D404,$E$2:$E404,"2007-2018",$K$2:$K404,TRUE)/auxiliar!$B$3</f>
        <v>0.98827755469520007</v>
      </c>
      <c r="M404" s="13">
        <f>SUMIFS($D$2:$D404,$E$2:$E404,"2019-2024",$K$2:$K404,TRUE)/auxiliar!$B$4</f>
        <v>0.99980339005331198</v>
      </c>
    </row>
    <row r="405" spans="1:13" x14ac:dyDescent="0.25">
      <c r="A405" t="s">
        <v>11</v>
      </c>
      <c r="B405" t="s">
        <v>21</v>
      </c>
      <c r="C405" t="s">
        <v>360</v>
      </c>
      <c r="D405" s="3">
        <v>6.36</v>
      </c>
      <c r="E405" t="s">
        <v>379</v>
      </c>
      <c r="F405" t="s">
        <v>367</v>
      </c>
      <c r="G405" s="6" t="s">
        <v>11</v>
      </c>
      <c r="H405" s="6" t="s">
        <v>21</v>
      </c>
      <c r="I405" s="6" t="s">
        <v>360</v>
      </c>
      <c r="K405" s="6" t="b">
        <v>1</v>
      </c>
      <c r="L405" s="13">
        <f>SUMIFS($D$2:$D405,$E$2:$E405,"2007-2018",$K$2:$K405,TRUE)/auxiliar!$B$3</f>
        <v>0.98827755469520007</v>
      </c>
      <c r="M405" s="13">
        <f>SUMIFS($D$2:$D405,$E$2:$E405,"2019-2024",$K$2:$K405,TRUE)/auxiliar!$B$4</f>
        <v>0.99980358579779727</v>
      </c>
    </row>
    <row r="406" spans="1:13" x14ac:dyDescent="0.25">
      <c r="A406" t="s">
        <v>11</v>
      </c>
      <c r="B406" t="s">
        <v>21</v>
      </c>
      <c r="C406" t="s">
        <v>395</v>
      </c>
      <c r="D406" s="3">
        <v>3.2</v>
      </c>
      <c r="E406" t="s">
        <v>379</v>
      </c>
      <c r="F406" t="s">
        <v>367</v>
      </c>
      <c r="J406" s="10" t="s">
        <v>368</v>
      </c>
      <c r="K406" s="6" t="b">
        <v>0</v>
      </c>
      <c r="L406" s="13">
        <f>SUMIFS($D$2:$D406,$E$2:$E406,"2007-2018",$K$2:$K406,TRUE)/auxiliar!$B$3</f>
        <v>0.98827755469520007</v>
      </c>
      <c r="M406" s="13">
        <f>SUMIFS($D$2:$D406,$E$2:$E406,"2019-2024",$K$2:$K406,TRUE)/auxiliar!$B$4</f>
        <v>0.99980358579779727</v>
      </c>
    </row>
    <row r="407" spans="1:13" x14ac:dyDescent="0.25">
      <c r="A407" t="s">
        <v>11</v>
      </c>
      <c r="B407" t="s">
        <v>33</v>
      </c>
      <c r="C407" t="s">
        <v>383</v>
      </c>
      <c r="D407" s="3">
        <v>2.8</v>
      </c>
      <c r="E407" t="s">
        <v>379</v>
      </c>
      <c r="F407" t="s">
        <v>367</v>
      </c>
      <c r="J407" s="10" t="s">
        <v>368</v>
      </c>
      <c r="K407" s="6" t="b">
        <v>0</v>
      </c>
      <c r="L407" s="13">
        <f>SUMIFS($D$2:$D407,$E$2:$E407,"2007-2018",$K$2:$K407,TRUE)/auxiliar!$B$3</f>
        <v>0.98827755469520007</v>
      </c>
      <c r="M407" s="13">
        <f>SUMIFS($D$2:$D407,$E$2:$E407,"2019-2024",$K$2:$K407,TRUE)/auxiliar!$B$4</f>
        <v>0.99980358579779727</v>
      </c>
    </row>
    <row r="408" spans="1:13" x14ac:dyDescent="0.25">
      <c r="A408" t="s">
        <v>11</v>
      </c>
      <c r="B408" t="s">
        <v>33</v>
      </c>
      <c r="C408" t="s">
        <v>382</v>
      </c>
      <c r="D408" s="3">
        <v>2.5</v>
      </c>
      <c r="E408" t="s">
        <v>379</v>
      </c>
      <c r="F408" t="s">
        <v>367</v>
      </c>
      <c r="G408" s="6" t="s">
        <v>11</v>
      </c>
      <c r="H408" s="6" t="s">
        <v>33</v>
      </c>
      <c r="I408" s="6" t="s">
        <v>382</v>
      </c>
      <c r="J408" s="10"/>
      <c r="K408" s="6" t="b">
        <v>1</v>
      </c>
      <c r="L408" s="13">
        <f>SUMIFS($D$2:$D408,$E$2:$E408,"2007-2018",$K$2:$K408,TRUE)/auxiliar!$B$3</f>
        <v>0.98827755469520007</v>
      </c>
      <c r="M408" s="13">
        <f>SUMIFS($D$2:$D408,$E$2:$E408,"2019-2024",$K$2:$K408,TRUE)/auxiliar!$B$4</f>
        <v>0.99980366274138421</v>
      </c>
    </row>
    <row r="409" spans="1:13" x14ac:dyDescent="0.25">
      <c r="A409" t="s">
        <v>11</v>
      </c>
      <c r="B409" t="s">
        <v>21</v>
      </c>
      <c r="C409" t="s">
        <v>396</v>
      </c>
      <c r="D409" s="3">
        <v>0.25</v>
      </c>
      <c r="E409" t="s">
        <v>379</v>
      </c>
      <c r="F409" t="s">
        <v>367</v>
      </c>
      <c r="J409" s="10" t="s">
        <v>368</v>
      </c>
      <c r="K409" s="6" t="b">
        <v>0</v>
      </c>
      <c r="L409" s="13">
        <f>SUMIFS($D$2:$D409,$E$2:$E409,"2007-2018",$K$2:$K409,TRUE)/auxiliar!$B$3</f>
        <v>0.98827755469520007</v>
      </c>
      <c r="M409" s="13">
        <f>SUMIFS($D$2:$D409,$E$2:$E409,"2019-2024",$K$2:$K409,TRUE)/auxiliar!$B$4</f>
        <v>0.99980366274138421</v>
      </c>
    </row>
    <row r="410" spans="1:13" x14ac:dyDescent="0.25">
      <c r="A410" t="s">
        <v>11</v>
      </c>
      <c r="B410" t="s">
        <v>33</v>
      </c>
      <c r="C410" t="s">
        <v>380</v>
      </c>
      <c r="D410" s="3">
        <v>0.25</v>
      </c>
      <c r="E410" t="s">
        <v>379</v>
      </c>
      <c r="F410" t="s">
        <v>367</v>
      </c>
      <c r="J410" s="10" t="s">
        <v>368</v>
      </c>
      <c r="K410" s="6" t="b">
        <v>0</v>
      </c>
      <c r="L410" s="13">
        <f>SUMIFS($D$2:$D410,$E$2:$E410,"2007-2018",$K$2:$K410,TRUE)/auxiliar!$B$3</f>
        <v>0.98827755469520007</v>
      </c>
      <c r="M410" s="13">
        <f>SUMIFS($D$2:$D410,$E$2:$E410,"2019-2024",$K$2:$K410,TRUE)/auxiliar!$B$4</f>
        <v>0.99980366274138421</v>
      </c>
    </row>
  </sheetData>
  <sortState xmlns:xlrd2="http://schemas.microsoft.com/office/spreadsheetml/2017/richdata2" ref="A2:M410">
    <sortCondition ref="E2:E410"/>
    <sortCondition descending="1" ref="D2:D410"/>
  </sortState>
  <conditionalFormatting sqref="A1:M1048576">
    <cfRule type="expression" dxfId="1" priority="3">
      <formula>$J1="Pendiente"</formula>
    </cfRule>
  </conditionalFormatting>
  <conditionalFormatting sqref="D2:D4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797-0EC0-43C3-AFE7-E830C34ABE90}">
  <dimension ref="A2:B4"/>
  <sheetViews>
    <sheetView workbookViewId="0">
      <selection activeCell="B4" sqref="B4"/>
    </sheetView>
  </sheetViews>
  <sheetFormatPr baseColWidth="10" defaultRowHeight="15" x14ac:dyDescent="0.25"/>
  <cols>
    <col min="2" max="2" width="11.7109375" bestFit="1" customWidth="1"/>
  </cols>
  <sheetData>
    <row r="2" spans="1:2" x14ac:dyDescent="0.25">
      <c r="B2" t="s">
        <v>372</v>
      </c>
    </row>
    <row r="3" spans="1:2" x14ac:dyDescent="0.25">
      <c r="A3" t="s">
        <v>375</v>
      </c>
      <c r="B3" s="3">
        <f>SUMIF(Sheet1!$E:$E,$A3,Sheet1!$D:$D)</f>
        <v>60334863.758557297</v>
      </c>
    </row>
    <row r="4" spans="1:2" x14ac:dyDescent="0.25">
      <c r="A4" t="s">
        <v>379</v>
      </c>
      <c r="B4" s="3">
        <f>SUMIF(Sheet1!$E:$E,$A4,Sheet1!$D:$D)</f>
        <v>32491336.820000004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2026-06-24T22:44:06Z</dcterms:created>
  <dcterms:modified xsi:type="dcterms:W3CDTF">2026-06-25T01:47:28Z</dcterms:modified>
</cp:coreProperties>
</file>